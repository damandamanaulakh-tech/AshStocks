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99eb14900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5c83ea174da4cae"/>
    <x:sheet xmlns:r="http://schemas.openxmlformats.org/officeDocument/2006/relationships" name="Signal Ranking" sheetId="2" r:id="Rc036f4fbcd2f4591"/>
    <x:sheet xmlns:r="http://schemas.openxmlformats.org/officeDocument/2006/relationships" name="Pattern Stability" sheetId="3" r:id="Rca3c9743322f48c8"/>
    <x:sheet xmlns:r="http://schemas.openxmlformats.org/officeDocument/2006/relationships" name="Cross Stock" sheetId="4" r:id="R8a10310e903d4d10"/>
    <x:sheet xmlns:r="http://schemas.openxmlformats.org/officeDocument/2006/relationships" name="Rise Event Ledger" sheetId="5" r:id="Rb923f3933f2f430c"/>
    <x:sheet xmlns:r="http://schemas.openxmlformats.org/officeDocument/2006/relationships" name="Latest Snapshot" sheetId="6" r:id="R70ebedfa176340a1"/>
    <x:sheet xmlns:r="http://schemas.openxmlformats.org/officeDocument/2006/relationships" name="Sources &amp; Method" sheetId="7" r:id="Rd16146803e74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x"/>
    <x:numFmt numFmtId="202" formatCode="0.00x"/>
    <x:numFmt numFmtId="203" formatCode="yyyy-mm-dd"/>
    <x:numFmt numFmtId="204" formatCode="#,##0.00"/>
    <x:numFmt numFmtId="205" formatCode="0.0"/>
    <x:numFmt numFmtId="206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A5F"/>
      <x:name val="Carlito"/>
    </x:font>
    <x:font>
      <x:b/>
      <x:sz val="11"/>
      <x:color rgb="FFFFFFFF"/>
      <x:name val="Carlito"/>
    </x:font>
    <x:font>
      <x:sz val="11"/>
      <x:color rgb="FF15803D"/>
      <x:name val="Carlito"/>
    </x:font>
    <x:font>
      <x:b/>
      <x:sz val="11"/>
      <x:color rgb="FF163A5F"/>
      <x:name val="Carlito"/>
    </x:font>
    <x:font>
      <x:b/>
      <x:sz val="10"/>
      <x:color rgb="FFFFFFFF"/>
      <x:name val="Carlito"/>
    </x:font>
    <x:font>
      <x:b/>
      <x:sz val="18"/>
      <x:color rgb="FFB91C1C"/>
      <x:name val="Carlito"/>
    </x:font>
    <x:font>
      <x:sz val="9"/>
      <x:color rgb="FF475569"/>
      <x:name val="Carlito"/>
    </x:font>
    <x:font>
      <x:b/>
      <x:sz val="18"/>
      <x:color rgb="FF15803D"/>
      <x:name val="Carlito"/>
    </x:font>
    <x:font>
      <x:sz val="11"/>
      <x:color rgb="FF111827"/>
      <x:name val="Carlito"/>
    </x:font>
    <x:font>
      <x:b/>
      <x:sz val="11"/>
      <x:color rgb="FF15803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163A5F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41">
    <x:border/>
    <x:border>
      <x:left style="medium">
        <x:color rgb="FF0B1F33"/>
      </x:left>
      <x:top style="medium">
        <x:color rgb="FF0B1F33"/>
      </x:top>
    </x:border>
    <x:border>
      <x:top style="medium">
        <x:color rgb="FF0B1F33"/>
      </x:top>
    </x:border>
    <x:border>
      <x:right style="medium">
        <x:color rgb="FF0B1F33"/>
      </x:right>
      <x:top style="medium">
        <x:color rgb="FF0B1F33"/>
      </x:top>
    </x:border>
    <x:border>
      <x:left style="medium">
        <x:color rgb="FF0B1F33"/>
      </x:left>
      <x:bottom style="medium">
        <x:color rgb="FF0B1F33"/>
      </x:bottom>
    </x:border>
    <x:border>
      <x:bottom style="medium">
        <x:color rgb="FF0B1F33"/>
      </x:bottom>
    </x:border>
    <x:border>
      <x:right style="medium">
        <x:color rgb="FF0B1F33"/>
      </x:right>
      <x:bottom style="medium">
        <x:color rgb="FF0B1F33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medium">
        <x:color rgb="FF0B1F33"/>
      </x:left>
      <x:top style="medium">
        <x:color rgb="FF0B1F33"/>
      </x:top>
      <x:bottom style="medium">
        <x:color rgb="FF0B1F33"/>
      </x:bottom>
    </x:border>
    <x:border>
      <x:top style="medium">
        <x:color rgb="FF0B1F33"/>
      </x:top>
      <x:bottom style="medium">
        <x:color rgb="FF0B1F33"/>
      </x:bottom>
    </x:border>
    <x:border>
      <x:right style="medium">
        <x:color rgb="FF0B1F33"/>
      </x:right>
      <x:top style="medium">
        <x:color rgb="FF0B1F33"/>
      </x:top>
      <x:bottom style="medium">
        <x:color rgb="FF0B1F33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15803D"/>
      </x:left>
      <x:top style="thin">
        <x:color rgb="FF15803D"/>
      </x:top>
    </x:border>
    <x:border>
      <x:top style="thin">
        <x:color rgb="FF15803D"/>
      </x:top>
    </x:border>
    <x:border>
      <x:right style="thin">
        <x:color rgb="FF15803D"/>
      </x:right>
      <x:top style="thin">
        <x:color rgb="FF15803D"/>
      </x:top>
    </x:border>
    <x:border>
      <x:left style="thin">
        <x:color rgb="FF15803D"/>
      </x:left>
    </x:border>
    <x:border>
      <x:right style="thin">
        <x:color rgb="FF15803D"/>
      </x:right>
    </x:border>
    <x:border>
      <x:left style="thin">
        <x:color rgb="FF15803D"/>
      </x:left>
      <x:bottom style="thin">
        <x:color rgb="FF15803D"/>
      </x:bottom>
    </x:border>
    <x:border>
      <x:bottom style="thin">
        <x:color rgb="FF15803D"/>
      </x:bottom>
    </x:border>
    <x:border>
      <x:right style="thin">
        <x:color rgb="FF15803D"/>
      </x:right>
      <x:bottom style="thin">
        <x:color rgb="FF15803D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horizontal="left"/>
    </x:xf>
    <x:xf numFmtId="0" fontId="1" fillId="2" borderId="5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1" fillId="2" borderId="15" xfId="0" applyNumberFormat="1" applyFont="1" applyFill="1" applyBorder="1"/>
    <x:xf numFmtId="0" fontId="1" fillId="2" borderId="13" xfId="0" applyNumberFormat="1" applyFont="1" applyFill="1" applyBorder="1" applyAlignment="1">
      <x:alignment horizontal="left"/>
    </x:xf>
    <x:xf numFmtId="0" fontId="1" fillId="2" borderId="14" xfId="0" applyNumberFormat="1" applyFont="1" applyFill="1" applyBorder="1" applyAlignment="1">
      <x:alignment horizontal="left"/>
    </x:xf>
    <x:xf numFmtId="0" fontId="1" fillId="2" borderId="15" xfId="0" applyNumberFormat="1" applyFont="1" applyFill="1" applyBorder="1" applyAlignment="1">
      <x:alignment horizontal="left"/>
    </x:xf>
    <x:xf numFmtId="0" fontId="1" fillId="2" borderId="13" xfId="0" applyNumberFormat="1" applyFont="1" applyFill="1" applyBorder="1" applyAlignment="1">
      <x:alignment horizontal="left" vertical="center"/>
    </x:xf>
    <x:xf numFmtId="0" fontId="1" fillId="2" borderId="14" xfId="0" applyNumberFormat="1" applyFont="1" applyFill="1" applyBorder="1" applyAlignment="1">
      <x:alignment horizontal="left" vertical="center"/>
    </x:xf>
    <x:xf numFmtId="0" fontId="1" fillId="2" borderId="1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7" fillId="3" borderId="20" xfId="0" applyNumberFormat="1" applyFont="1" applyFill="1" applyBorder="1"/>
    <x:xf numFmtId="0" fontId="7" fillId="3" borderId="21" xfId="0" applyNumberFormat="1" applyFont="1" applyFill="1" applyBorder="1"/>
    <x:xf numFmtId="0" fontId="7" fillId="3" borderId="16" xfId="0" applyNumberFormat="1" applyFont="1" applyFill="1" applyBorder="1" applyAlignment="1">
      <x:alignment horizontal="center"/>
    </x:xf>
    <x:xf numFmtId="0" fontId="7" fillId="3" borderId="17" xfId="0" applyNumberFormat="1" applyFont="1" applyFill="1" applyBorder="1" applyAlignment="1">
      <x:alignment horizontal="center"/>
    </x:xf>
    <x:xf numFmtId="0" fontId="7" fillId="3" borderId="18" xfId="0" applyNumberFormat="1" applyFont="1" applyFill="1" applyBorder="1" applyAlignment="1">
      <x:alignment horizontal="center"/>
    </x:xf>
    <x:xf numFmtId="0" fontId="7" fillId="3" borderId="19" xfId="0" applyNumberFormat="1" applyFont="1" applyFill="1" applyBorder="1" applyAlignment="1">
      <x:alignment horizontal="center"/>
    </x:xf>
    <x:xf numFmtId="0" fontId="7" fillId="3" borderId="20" xfId="0" applyNumberFormat="1" applyFont="1" applyFill="1" applyBorder="1" applyAlignment="1">
      <x:alignment horizontal="center"/>
    </x:xf>
    <x:xf numFmtId="0" fontId="7" fillId="3" borderId="21" xfId="0" applyNumberFormat="1" applyFont="1" applyFill="1" applyBorder="1" applyAlignment="1">
      <x:alignment horizontal="center"/>
    </x:xf>
    <x:xf numFmtId="0" fontId="7" fillId="3" borderId="16" xfId="0" applyNumberFormat="1" applyFont="1" applyFill="1" applyBorder="1" applyAlignment="1">
      <x:alignment horizontal="center" vertical="center"/>
    </x:xf>
    <x:xf numFmtId="0" fontId="7" fillId="3" borderId="17" xfId="0" applyNumberFormat="1" applyFont="1" applyFill="1" applyBorder="1" applyAlignment="1">
      <x:alignment horizontal="center" vertical="center"/>
    </x:xf>
    <x:xf numFmtId="0" fontId="7" fillId="3" borderId="18" xfId="0" applyNumberFormat="1" applyFont="1" applyFill="1" applyBorder="1" applyAlignment="1">
      <x:alignment horizontal="center" vertical="center"/>
    </x:xf>
    <x:xf numFmtId="0" fontId="7" fillId="3" borderId="19" xfId="0" applyNumberFormat="1" applyFont="1" applyFill="1" applyBorder="1" applyAlignment="1">
      <x:alignment horizontal="center" vertical="center"/>
    </x:xf>
    <x:xf numFmtId="0" fontId="7" fillId="3" borderId="20" xfId="0" applyNumberFormat="1" applyFont="1" applyFill="1" applyBorder="1" applyAlignment="1">
      <x:alignment horizontal="center" vertical="center"/>
    </x:xf>
    <x:xf numFmtId="0" fontId="7" fillId="3" borderId="2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9" fillId="3" borderId="19" xfId="0" applyNumberFormat="1" applyFont="1" applyFill="1" applyBorder="1"/>
    <x:xf numFmtId="0" fontId="9" fillId="3" borderId="20" xfId="0" applyNumberFormat="1" applyFont="1" applyFill="1" applyBorder="1"/>
    <x:xf numFmtId="0" fontId="9" fillId="3" borderId="21" xfId="0" applyNumberFormat="1" applyFont="1" applyFill="1" applyBorder="1"/>
    <x:xf numFmtId="0" fontId="9" fillId="3" borderId="16" xfId="0" applyNumberFormat="1" applyFont="1" applyFill="1" applyBorder="1" applyAlignment="1">
      <x:alignment horizontal="center"/>
    </x:xf>
    <x:xf numFmtId="0" fontId="9" fillId="3" borderId="17" xfId="0" applyNumberFormat="1" applyFont="1" applyFill="1" applyBorder="1" applyAlignment="1">
      <x:alignment horizontal="center"/>
    </x:xf>
    <x:xf numFmtId="0" fontId="9" fillId="3" borderId="18" xfId="0" applyNumberFormat="1" applyFont="1" applyFill="1" applyBorder="1" applyAlignment="1">
      <x:alignment horizontal="center"/>
    </x:xf>
    <x:xf numFmtId="0" fontId="9" fillId="3" borderId="19" xfId="0" applyNumberFormat="1" applyFont="1" applyFill="1" applyBorder="1" applyAlignment="1">
      <x:alignment horizontal="center"/>
    </x:xf>
    <x:xf numFmtId="0" fontId="9" fillId="3" borderId="20" xfId="0" applyNumberFormat="1" applyFont="1" applyFill="1" applyBorder="1" applyAlignment="1">
      <x:alignment horizontal="center"/>
    </x:xf>
    <x:xf numFmtId="0" fontId="9" fillId="3" borderId="21" xfId="0" applyNumberFormat="1" applyFont="1" applyFill="1" applyBorder="1" applyAlignment="1">
      <x:alignment horizontal="center"/>
    </x:xf>
    <x:xf numFmtId="0" fontId="9" fillId="3" borderId="16" xfId="0" applyNumberFormat="1" applyFont="1" applyFill="1" applyBorder="1" applyAlignment="1">
      <x:alignment horizontal="center" vertical="center"/>
    </x:xf>
    <x:xf numFmtId="0" fontId="9" fillId="3" borderId="17" xfId="0" applyNumberFormat="1" applyFont="1" applyFill="1" applyBorder="1" applyAlignment="1">
      <x:alignment horizontal="center" vertical="center"/>
    </x:xf>
    <x:xf numFmtId="0" fontId="9" fillId="3" borderId="18" xfId="0" applyNumberFormat="1" applyFont="1" applyFill="1" applyBorder="1" applyAlignment="1">
      <x:alignment horizontal="center" vertical="center"/>
    </x:xf>
    <x:xf numFmtId="0" fontId="9" fillId="3" borderId="19" xfId="0" applyNumberFormat="1" applyFont="1" applyFill="1" applyBorder="1" applyAlignment="1">
      <x:alignment horizontal="center" vertical="center"/>
    </x:xf>
    <x:xf numFmtId="0" fontId="9" fillId="3" borderId="20" xfId="0" applyNumberFormat="1" applyFont="1" applyFill="1" applyBorder="1" applyAlignment="1">
      <x:alignment horizontal="center" vertical="center"/>
    </x:xf>
    <x:xf numFmtId="0" fontId="9" fillId="3" borderId="21" xfId="0" applyNumberFormat="1" applyFont="1" applyFill="1" applyBorder="1" applyAlignment="1">
      <x:alignment horizontal="center" vertical="center"/>
    </x:xf>
    <x:xf numFmtId="201" fontId="9" fillId="3" borderId="16" xfId="0" applyNumberFormat="1" applyFont="1" applyFill="1" applyBorder="1" applyAlignment="1">
      <x:alignment horizontal="center" vertical="center"/>
    </x:xf>
    <x:xf numFmtId="201" fontId="9" fillId="3" borderId="17" xfId="0" applyNumberFormat="1" applyFont="1" applyFill="1" applyBorder="1" applyAlignment="1">
      <x:alignment horizontal="center" vertical="center"/>
    </x:xf>
    <x:xf numFmtId="201" fontId="9" fillId="3" borderId="18" xfId="0" applyNumberFormat="1" applyFont="1" applyFill="1" applyBorder="1" applyAlignment="1">
      <x:alignment horizontal="center" vertical="center"/>
    </x:xf>
    <x:xf numFmtId="201" fontId="9" fillId="3" borderId="19" xfId="0" applyNumberFormat="1" applyFont="1" applyFill="1" applyBorder="1" applyAlignment="1">
      <x:alignment horizontal="center" vertical="center"/>
    </x:xf>
    <x:xf numFmtId="201" fontId="9" fillId="3" borderId="20" xfId="0" applyNumberFormat="1" applyFont="1" applyFill="1" applyBorder="1" applyAlignment="1">
      <x:alignment horizontal="center" vertical="center"/>
    </x:xf>
    <x:xf numFmtId="201" fontId="9" fillId="3" borderId="21" xfId="0" applyNumberFormat="1" applyFont="1" applyFill="1" applyBorder="1" applyAlignment="1">
      <x:alignment horizontal="center" vertical="center"/>
    </x:xf>
    <x:xf numFmtId="200" fontId="9" fillId="3" borderId="16" xfId="0" applyNumberFormat="1" applyFont="1" applyFill="1" applyBorder="1" applyAlignment="1">
      <x:alignment horizontal="center" vertical="center"/>
    </x:xf>
    <x:xf numFmtId="200" fontId="9" fillId="3" borderId="17" xfId="0" applyNumberFormat="1" applyFont="1" applyFill="1" applyBorder="1" applyAlignment="1">
      <x:alignment horizontal="center" vertical="center"/>
    </x:xf>
    <x:xf numFmtId="200" fontId="9" fillId="3" borderId="18" xfId="0" applyNumberFormat="1" applyFont="1" applyFill="1" applyBorder="1" applyAlignment="1">
      <x:alignment horizontal="center" vertical="center"/>
    </x:xf>
    <x:xf numFmtId="200" fontId="9" fillId="3" borderId="19" xfId="0" applyNumberFormat="1" applyFont="1" applyFill="1" applyBorder="1" applyAlignment="1">
      <x:alignment horizontal="center" vertical="center"/>
    </x:xf>
    <x:xf numFmtId="200" fontId="9" fillId="3" borderId="20" xfId="0" applyNumberFormat="1" applyFont="1" applyFill="1" applyBorder="1" applyAlignment="1">
      <x:alignment horizontal="center" vertical="center"/>
    </x:xf>
    <x:xf numFmtId="200" fontId="9" fillId="3" borderId="21" xfId="0" applyNumberFormat="1" applyFont="1" applyFill="1" applyBorder="1" applyAlignment="1">
      <x:alignment horizontal="center" vertical="center"/>
    </x:xf>
    <x:xf numFmtId="205" fontId="9" fillId="3" borderId="16" xfId="0" applyNumberFormat="1" applyFont="1" applyFill="1" applyBorder="1" applyAlignment="1">
      <x:alignment horizontal="center" vertical="center"/>
    </x:xf>
    <x:xf numFmtId="205" fontId="9" fillId="3" borderId="17" xfId="0" applyNumberFormat="1" applyFont="1" applyFill="1" applyBorder="1" applyAlignment="1">
      <x:alignment horizontal="center" vertical="center"/>
    </x:xf>
    <x:xf numFmtId="205" fontId="9" fillId="3" borderId="18" xfId="0" applyNumberFormat="1" applyFont="1" applyFill="1" applyBorder="1" applyAlignment="1">
      <x:alignment horizontal="center" vertical="center"/>
    </x:xf>
    <x:xf numFmtId="205" fontId="9" fillId="3" borderId="19" xfId="0" applyNumberFormat="1" applyFont="1" applyFill="1" applyBorder="1" applyAlignment="1">
      <x:alignment horizontal="center" vertical="center"/>
    </x:xf>
    <x:xf numFmtId="205" fontId="9" fillId="3" borderId="20" xfId="0" applyNumberFormat="1" applyFont="1" applyFill="1" applyBorder="1" applyAlignment="1">
      <x:alignment horizontal="center" vertical="center"/>
    </x:xf>
    <x:xf numFmtId="205" fontId="9" fillId="3" borderId="2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21" xfId="0" applyNumberFormat="1" applyFont="1" applyFill="1" applyBorder="1" applyAlignment="1">
      <x:alignment horizontal="center"/>
    </x:xf>
    <x:xf numFmtId="0" fontId="5" fillId="0" borderId="22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/>
    </x:xf>
    <x:xf numFmtId="0" fontId="5" fillId="0" borderId="23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/>
    </x:xf>
    <x:xf numFmtId="0" fontId="5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25" xfId="0" applyNumberFormat="1" applyFont="1" applyFill="1" applyBorder="1"/>
    <x:xf numFmtId="0" fontId="10" fillId="7" borderId="26" xfId="0" applyNumberFormat="1" applyFont="1" applyFill="1" applyBorder="1"/>
    <x:xf numFmtId="0" fontId="10" fillId="7" borderId="27" xfId="0" applyNumberFormat="1" applyFont="1" applyFill="1" applyBorder="1"/>
    <x:xf numFmtId="0" fontId="10" fillId="7" borderId="28" xfId="0" applyNumberFormat="1" applyFont="1" applyFill="1" applyBorder="1"/>
    <x:xf numFmtId="0" fontId="10" fillId="7" borderId="29" xfId="0" applyNumberFormat="1" applyFont="1" applyFill="1" applyBorder="1"/>
    <x:xf numFmtId="0" fontId="10" fillId="7" borderId="30" xfId="0" applyNumberFormat="1" applyFont="1" applyFill="1" applyBorder="1"/>
    <x:xf numFmtId="0" fontId="10" fillId="7" borderId="31" xfId="0" applyNumberFormat="1" applyFont="1" applyFill="1" applyBorder="1"/>
    <x:xf numFmtId="0" fontId="10" fillId="7" borderId="32" xfId="0" applyNumberFormat="1" applyFont="1" applyFill="1" applyBorder="1"/>
    <x:xf numFmtId="0" fontId="10" fillId="7" borderId="25" xfId="0" applyNumberFormat="1" applyFont="1" applyFill="1" applyBorder="1" applyAlignment="1">
      <x:alignment wrapText="1"/>
    </x:xf>
    <x:xf numFmtId="0" fontId="10" fillId="7" borderId="26" xfId="0" applyNumberFormat="1" applyFont="1" applyFill="1" applyBorder="1" applyAlignment="1">
      <x:alignment wrapText="1"/>
    </x:xf>
    <x:xf numFmtId="0" fontId="10" fillId="7" borderId="27" xfId="0" applyNumberFormat="1" applyFont="1" applyFill="1" applyBorder="1" applyAlignment="1">
      <x:alignment wrapText="1"/>
    </x:xf>
    <x:xf numFmtId="0" fontId="10" fillId="7" borderId="28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29" xfId="0" applyNumberFormat="1" applyFont="1" applyFill="1" applyBorder="1" applyAlignment="1">
      <x:alignment wrapText="1"/>
    </x:xf>
    <x:xf numFmtId="0" fontId="10" fillId="7" borderId="30" xfId="0" applyNumberFormat="1" applyFont="1" applyFill="1" applyBorder="1" applyAlignment="1">
      <x:alignment wrapText="1"/>
    </x:xf>
    <x:xf numFmtId="0" fontId="10" fillId="7" borderId="31" xfId="0" applyNumberFormat="1" applyFont="1" applyFill="1" applyBorder="1" applyAlignment="1">
      <x:alignment wrapText="1"/>
    </x:xf>
    <x:xf numFmtId="0" fontId="10" fillId="7" borderId="32" xfId="0" applyNumberFormat="1" applyFont="1" applyFill="1" applyBorder="1" applyAlignment="1">
      <x:alignment wrapText="1"/>
    </x:xf>
    <x:xf numFmtId="0" fontId="10" fillId="7" borderId="25" xfId="0" applyNumberFormat="1" applyFont="1" applyFill="1" applyBorder="1" applyAlignment="1">
      <x:alignment vertical="top" wrapText="1"/>
    </x:xf>
    <x:xf numFmtId="0" fontId="10" fillId="7" borderId="26" xfId="0" applyNumberFormat="1" applyFont="1" applyFill="1" applyBorder="1" applyAlignment="1">
      <x:alignment vertical="top" wrapText="1"/>
    </x:xf>
    <x:xf numFmtId="0" fontId="10" fillId="7" borderId="27" xfId="0" applyNumberFormat="1" applyFont="1" applyFill="1" applyBorder="1" applyAlignment="1">
      <x:alignment vertical="top" wrapText="1"/>
    </x:xf>
    <x:xf numFmtId="0" fontId="10" fillId="7" borderId="28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29" xfId="0" applyNumberFormat="1" applyFont="1" applyFill="1" applyBorder="1" applyAlignment="1">
      <x:alignment vertical="top" wrapText="1"/>
    </x:xf>
    <x:xf numFmtId="0" fontId="10" fillId="7" borderId="30" xfId="0" applyNumberFormat="1" applyFont="1" applyFill="1" applyBorder="1" applyAlignment="1">
      <x:alignment vertical="top" wrapText="1"/>
    </x:xf>
    <x:xf numFmtId="0" fontId="10" fillId="7" borderId="31" xfId="0" applyNumberFormat="1" applyFont="1" applyFill="1" applyBorder="1" applyAlignment="1">
      <x:alignment vertical="top" wrapText="1"/>
    </x:xf>
    <x:xf numFmtId="0" fontId="10" fillId="7" borderId="3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3" xfId="0" applyNumberFormat="1" applyFont="1" applyFill="1" applyBorder="1"/>
    <x:xf numFmtId="0" fontId="11" fillId="8" borderId="34" xfId="0" applyNumberFormat="1" applyFont="1" applyFill="1" applyBorder="1"/>
    <x:xf numFmtId="0" fontId="11" fillId="8" borderId="35" xfId="0" applyNumberFormat="1" applyFont="1" applyFill="1" applyBorder="1"/>
    <x:xf numFmtId="0" fontId="11" fillId="8" borderId="36" xfId="0" applyNumberFormat="1" applyFont="1" applyFill="1" applyBorder="1"/>
    <x:xf numFmtId="0" fontId="11" fillId="8" borderId="37" xfId="0" applyNumberFormat="1" applyFont="1" applyFill="1" applyBorder="1"/>
    <x:xf numFmtId="0" fontId="11" fillId="8" borderId="38" xfId="0" applyNumberFormat="1" applyFont="1" applyFill="1" applyBorder="1"/>
    <x:xf numFmtId="0" fontId="11" fillId="8" borderId="39" xfId="0" applyNumberFormat="1" applyFont="1" applyFill="1" applyBorder="1"/>
    <x:xf numFmtId="0" fontId="11" fillId="8" borderId="40" xfId="0" applyNumberFormat="1" applyFont="1" applyFill="1" applyBorder="1"/>
    <x:xf numFmtId="0" fontId="11" fillId="8" borderId="33" xfId="0" applyNumberFormat="1" applyFont="1" applyFill="1" applyBorder="1" applyAlignment="1">
      <x:alignment wrapText="1"/>
    </x:xf>
    <x:xf numFmtId="0" fontId="11" fillId="8" borderId="34" xfId="0" applyNumberFormat="1" applyFont="1" applyFill="1" applyBorder="1" applyAlignment="1">
      <x:alignment wrapText="1"/>
    </x:xf>
    <x:xf numFmtId="0" fontId="11" fillId="8" borderId="35" xfId="0" applyNumberFormat="1" applyFont="1" applyFill="1" applyBorder="1" applyAlignment="1">
      <x:alignment wrapText="1"/>
    </x:xf>
    <x:xf numFmtId="0" fontId="11" fillId="8" borderId="36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37" xfId="0" applyNumberFormat="1" applyFont="1" applyFill="1" applyBorder="1" applyAlignment="1">
      <x:alignment wrapText="1"/>
    </x:xf>
    <x:xf numFmtId="0" fontId="11" fillId="8" borderId="38" xfId="0" applyNumberFormat="1" applyFont="1" applyFill="1" applyBorder="1" applyAlignment="1">
      <x:alignment wrapText="1"/>
    </x:xf>
    <x:xf numFmtId="0" fontId="11" fillId="8" borderId="39" xfId="0" applyNumberFormat="1" applyFont="1" applyFill="1" applyBorder="1" applyAlignment="1">
      <x:alignment wrapText="1"/>
    </x:xf>
    <x:xf numFmtId="0" fontId="11" fillId="8" borderId="40" xfId="0" applyNumberFormat="1" applyFont="1" applyFill="1" applyBorder="1" applyAlignment="1">
      <x:alignment wrapText="1"/>
    </x:xf>
    <x:xf numFmtId="0" fontId="11" fillId="8" borderId="33" xfId="0" applyNumberFormat="1" applyFont="1" applyFill="1" applyBorder="1" applyAlignment="1">
      <x:alignment vertical="center" wrapText="1"/>
    </x:xf>
    <x:xf numFmtId="0" fontId="11" fillId="8" borderId="34" xfId="0" applyNumberFormat="1" applyFont="1" applyFill="1" applyBorder="1" applyAlignment="1">
      <x:alignment vertical="center" wrapText="1"/>
    </x:xf>
    <x:xf numFmtId="0" fontId="11" fillId="8" borderId="35" xfId="0" applyNumberFormat="1" applyFont="1" applyFill="1" applyBorder="1" applyAlignment="1">
      <x:alignment vertical="center" wrapText="1"/>
    </x:xf>
    <x:xf numFmtId="0" fontId="11" fillId="8" borderId="36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37" xfId="0" applyNumberFormat="1" applyFont="1" applyFill="1" applyBorder="1" applyAlignment="1">
      <x:alignment vertical="center" wrapText="1"/>
    </x:xf>
    <x:xf numFmtId="0" fontId="11" fillId="8" borderId="38" xfId="0" applyNumberFormat="1" applyFont="1" applyFill="1" applyBorder="1" applyAlignment="1">
      <x:alignment vertical="center" wrapText="1"/>
    </x:xf>
    <x:xf numFmtId="0" fontId="11" fillId="8" borderId="39" xfId="0" applyNumberFormat="1" applyFont="1" applyFill="1" applyBorder="1" applyAlignment="1">
      <x:alignment vertical="center" wrapText="1"/>
    </x:xf>
    <x:xf numFmtId="0" fontId="11" fillId="8" borderId="4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040d13613479c" /><Relationship Type="http://schemas.openxmlformats.org/officeDocument/2006/relationships/theme" Target="/xl/theme/theme1.xml" Id="R68a24aadd15e48fd" /><Relationship Type="http://schemas.microsoft.com/office/2022/11/relationships/FeaturePropertyBag" Target="/xl/featurePropertyBag/featurePropertyBag.xml" Id="Re7e61f923f334f88" /><Relationship Type="http://schemas.openxmlformats.org/officeDocument/2006/relationships/sharedStrings" Target="/xl/sharedStrings.xml" Id="Rc45cc01ada7b4fab" /><Relationship Type="http://schemas.openxmlformats.org/officeDocument/2006/relationships/worksheet" Target="/xl/worksheets/sheet1.xml" Id="R65c83ea174da4cae" /><Relationship Type="http://schemas.openxmlformats.org/officeDocument/2006/relationships/worksheet" Target="/xl/worksheets/sheet2.xml" Id="Rc036f4fbcd2f4591" /><Relationship Type="http://schemas.openxmlformats.org/officeDocument/2006/relationships/worksheet" Target="/xl/worksheets/sheet3.xml" Id="Rca3c9743322f48c8" /><Relationship Type="http://schemas.openxmlformats.org/officeDocument/2006/relationships/worksheet" Target="/xl/worksheets/sheet4.xml" Id="R8a10310e903d4d10" /><Relationship Type="http://schemas.openxmlformats.org/officeDocument/2006/relationships/worksheet" Target="/xl/worksheets/sheet5.xml" Id="Rb923f3933f2f430c" /><Relationship Type="http://schemas.openxmlformats.org/officeDocument/2006/relationships/worksheet" Target="/xl/worksheets/sheet6.xml" Id="R70ebedfa176340a1" /><Relationship Type="http://schemas.openxmlformats.org/officeDocument/2006/relationships/worksheet" Target="/xl/worksheets/sheet7.xml" Id="Rd16146803e7448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d69c4b22ec43b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57726a9e574d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Pattern precision exceeded the matching base rate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 Rate</c:v>
          </c:tx>
          <c:cat>
            <c:strRef>
              <c:f>'Dashboard'!$A$34:$A$37</c:f>
              <c:strCache>
                <c:ptCount val="0"/>
              </c:strCache>
            </c:strRef>
          </c:cat>
          <c:val>
            <c:numRef>
              <c:f>'Dashboard'!$B$34:$B$37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Pattern Precision</c:v>
          </c:tx>
          <c:cat>
            <c:strRef>
              <c:f>'Dashboard'!$A$34:$A$37</c:f>
              <c:strCache>
                <c:ptCount val="0"/>
              </c:strCache>
            </c:strRef>
          </c:cat>
          <c:val>
            <c:numRef>
              <c:f>'Dashboard'!$C$34:$C$37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2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Lift stayed above 1.0 in all four blocks</a:t>
            </a:r>
          </a:p>
        </c:rich>
      </c:tx>
    </c:title>
    <c:plotArea>
      <c:lineChart>
        <c:grouping val="standard"/>
        <c:ser>
          <c:idx val="0"/>
          <c:order val="0"/>
          <c:tx>
            <c:v>WATCH Lift</c:v>
          </c:tx>
          <c:marker>
            <c:symbol val="none"/>
          </c:marker>
          <c:cat>
            <c:strRef>
              <c:f>'Pattern Stability'!$M$6:$M$9</c:f>
              <c:strCache>
                <c:ptCount val="0"/>
              </c:strCache>
            </c:strRef>
          </c:cat>
          <c:val>
            <c:numRef>
              <c:f>'Pattern Stability'!$N$6:$N$9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STRONG Lift</c:v>
          </c:tx>
          <c:marker>
            <c:symbol val="none"/>
          </c:marker>
          <c:cat>
            <c:strRef>
              <c:f>'Pattern Stability'!$M$6:$M$9</c:f>
              <c:strCache>
                <c:ptCount val="0"/>
              </c:strCache>
            </c:strRef>
          </c:cat>
          <c:val>
            <c:numRef>
              <c:f>'Pattern Stability'!$O$6:$O$9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d69c4b22ec43b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21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57726a9e574d8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eRiseSignalRanking" displayName="PreRiseSignalRanking" ref="A5:T37" headerRowCount="1" totalsRowCount="0" totalsRowShown="0">
  <x:autoFilter ref="A5:T37"/>
  <x:tableColumns count="20">
    <x:tableColumn id="1" name="Signal ID"/>
    <x:tableColumn id="2" name="Full Fires"/>
    <x:tableColumn id="3" name="Full Base Rate"/>
    <x:tableColumn id="4" name="Full Precision"/>
    <x:tableColumn id="5" name="Full Lift"/>
    <x:tableColumn id="6" name="Full Z"/>
    <x:tableColumn id="7" name="Test Fires"/>
    <x:tableColumn id="8" name="Test Base Rate"/>
    <x:tableColumn id="9" name="Test Precision"/>
    <x:tableColumn id="10" name="Test Lift"/>
    <x:tableColumn id="11" name="Test Z"/>
    <x:tableColumn id="12" name="Train Fires"/>
    <x:tableColumn id="13" name="Train Precision"/>
    <x:tableColumn id="14" name="Train Lift"/>
    <x:tableColumn id="15" name="Median Lead Days"/>
    <x:tableColumn id="16" name="Full Recall"/>
    <x:tableColumn id="17" name="Symbols Lift &gt; 1"/>
    <x:tableColumn id="18" name="Eligible Symbols"/>
    <x:tableColumn id="19" name="Status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RiseStability" displayName="PreRiseStability" ref="A5:K17" headerRowCount="1" totalsRowCount="0" totalsRowShown="0">
  <x:tableColumns count="11">
    <x:tableColumn id="1" name="Level"/>
    <x:tableColumn id="2" name="Inside Bars / 10"/>
    <x:tableColumn id="3" name="Volume Multiple"/>
    <x:tableColumn id="4" name="Period"/>
    <x:tableColumn id="5" name="Fires"/>
    <x:tableColumn id="6" name="Base Rate"/>
    <x:tableColumn id="7" name="Precision"/>
    <x:tableColumn id="8" name="Lift"/>
    <x:tableColumn id="9" name="Z Score"/>
    <x:tableColumn id="10" name="Median Lead Days"/>
    <x:tableColumn id="11" name="Lift &gt; 1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eRiseCrossStock" displayName="PreRiseCrossStock" ref="A5:H32" headerRowCount="1" totalsRowCount="0" totalsRowShown="0">
  <x:tableColumns count="8">
    <x:tableColumn id="1" name="Level"/>
    <x:tableColumn id="2" name="Symbol"/>
    <x:tableColumn id="3" name="Eligible Rows"/>
    <x:tableColumn id="4" name="Fires"/>
    <x:tableColumn id="5" name="Precision"/>
    <x:tableColumn id="6" name="Lift"/>
    <x:tableColumn id="7" name="Lift &gt; 1"/>
    <x:tableColumn id="8" name="Sample Note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PreRiseEventLedger" displayName="PreRiseEventLedger" ref="A5:N607" headerRowCount="1" totalsRowCount="0" totalsRowShown="0">
  <x:tableColumns count="14">
    <x:tableColumn id="1" name="Symbol"/>
    <x:tableColumn id="2" name="Signal Date"/>
    <x:tableColumn id="3" name="Close"/>
    <x:tableColumn id="4" name="Future Max Return 10D"/>
    <x:tableColumn id="5" name="Future Close Return 10D"/>
    <x:tableColumn id="6" name="Days to +8%"/>
    <x:tableColumn id="7" name="WATCH"/>
    <x:tableColumn id="8" name="STRONG"/>
    <x:tableColumn id="9" name="Inside Bars ≥ 3"/>
    <x:tableColumn id="10" name="Positive Volume Wake"/>
    <x:tableColumn id="11" name="Momentum Quality"/>
    <x:tableColumn id="12" name="Delivery High"/>
    <x:tableColumn id="13" name="FII Futures Net Positive"/>
    <x:tableColumn id="14" name="VIX Below 2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RiseLatestSnapshot" displayName="PreRiseLatestSnapshot" ref="A5:H21" headerRowCount="1" totalsRowCount="0" totalsRowShown="0">
  <x:tableColumns count="8">
    <x:tableColumn id="1" name="Symbol"/>
    <x:tableColumn id="2" name="Latest Source Date"/>
    <x:tableColumn id="3" name="Close"/>
    <x:tableColumn id="4" name="Stale Days"/>
    <x:tableColumn id="5" name="Primary Pattern"/>
    <x:tableColumn id="6" name="Active Signal Count"/>
    <x:tableColumn id="7" name="Active Signals"/>
    <x:tableColumn id="8" name="Data Statu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PreRiseSources" displayName="PreRiseSources" ref="A5:G10" headerRowCount="1" totalsRowCount="0" totalsRowShown="0">
  <x:tableColumns count="7">
    <x:tableColumn id="1" name="Source"/>
    <x:tableColumn id="2" name="Role"/>
    <x:tableColumn id="3" name="Rows"/>
    <x:tableColumn id="4" name="Date Start"/>
    <x:tableColumn id="5" name="Date End"/>
    <x:tableColumn id="6" name="Status"/>
    <x:tableColumn id="7" name="Audi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22bf297f3846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96dc5e567640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2afe113584d41de" /><Relationship Type="http://schemas.openxmlformats.org/officeDocument/2006/relationships/table" Target="/xl/tables/table2.xml" Id="R593def35095741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ec0f539d8b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3ae6ff5d744e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1c407d1f434c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5c97ed0e734b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1" hidden="0" customWidth="1"/>
    <x:col min="5" max="5" width="18" hidden="0" customWidth="1"/>
    <x:col min="6" max="6" width="16" hidden="0" customWidth="1"/>
    <x:col min="7" max="7" width="11" hidden="0" customWidth="1"/>
    <x:col min="8" max="8" width="18" hidden="0" customWidth="1"/>
    <x:col min="9" max="9" width="16" hidden="0" customWidth="1"/>
    <x:col min="10" max="10" width="11" hidden="0" customWidth="1"/>
    <x:col min="11" max="11" width="18" hidden="0" customWidth="1"/>
    <x:col min="12" max="12" width="16" hidden="0" customWidth="1"/>
  </x:cols>
  <x:sheetData>
    <x:row r="1" ht="28" customHeight="1">
      <x:c r="A1" s="15" t="str">
        <x:v>ASH STOCK — Pre-Rise Pattern Tracker</x:v>
      </x:c>
      <x:c r="B1" s="16" t="str">
        <x:v>ASH STOCK — Pre-Rise Pattern Tracker</x:v>
      </x:c>
      <x:c r="C1" s="16" t="str">
        <x:v>ASH STOCK — Pre-Rise Pattern Tracker</x:v>
      </x:c>
      <x:c r="D1" s="16" t="str">
        <x:v>ASH STOCK — Pre-Rise Pattern Tracker</x:v>
      </x:c>
      <x:c r="E1" s="16" t="str">
        <x:v>ASH STOCK — Pre-Rise Pattern Tracker</x:v>
      </x:c>
      <x:c r="F1" s="16" t="str">
        <x:v>ASH STOCK — Pre-Rise Pattern Tracker</x:v>
      </x:c>
      <x:c r="G1" s="16" t="str">
        <x:v>ASH STOCK — Pre-Rise Pattern Tracker</x:v>
      </x:c>
      <x:c r="H1" s="16" t="str">
        <x:v>ASH STOCK — Pre-Rise Pattern Tracker</x:v>
      </x:c>
      <x:c r="I1" s="16" t="str">
        <x:v>ASH STOCK — Pre-Rise Pattern Tracker</x:v>
      </x:c>
      <x:c r="J1" s="16" t="str">
        <x:v>ASH STOCK — Pre-Rise Pattern Tracker</x:v>
      </x:c>
      <x:c r="K1" s="16" t="str">
        <x:v>ASH STOCK — Pre-Rise Pattern Tracker</x:v>
      </x:c>
      <x:c r="L1" s="17" t="str">
        <x:v>ASH STOCK — Pre-Rise Pattern Tracker</x:v>
      </x:c>
    </x:row>
    <x:row r="2" ht="28" customHeight="1">
      <x:c r="A2" s="18" t="str">
        <x:v>ASH STOCK — Pre-Rise Pattern Tracker</x:v>
      </x:c>
      <x:c r="B2" s="19" t="str">
        <x:v>ASH STOCK — Pre-Rise Pattern Tracker</x:v>
      </x:c>
      <x:c r="C2" s="19" t="str">
        <x:v>ASH STOCK — Pre-Rise Pattern Tracker</x:v>
      </x:c>
      <x:c r="D2" s="19" t="str">
        <x:v>ASH STOCK — Pre-Rise Pattern Tracker</x:v>
      </x:c>
      <x:c r="E2" s="19" t="str">
        <x:v>ASH STOCK — Pre-Rise Pattern Tracker</x:v>
      </x:c>
      <x:c r="F2" s="19" t="str">
        <x:v>ASH STOCK — Pre-Rise Pattern Tracker</x:v>
      </x:c>
      <x:c r="G2" s="19" t="str">
        <x:v>ASH STOCK — Pre-Rise Pattern Tracker</x:v>
      </x:c>
      <x:c r="H2" s="19" t="str">
        <x:v>ASH STOCK — Pre-Rise Pattern Tracker</x:v>
      </x:c>
      <x:c r="I2" s="19" t="str">
        <x:v>ASH STOCK — Pre-Rise Pattern Tracker</x:v>
      </x:c>
      <x:c r="J2" s="19" t="str">
        <x:v>ASH STOCK — Pre-Rise Pattern Tracker</x:v>
      </x:c>
      <x:c r="K2" s="19" t="str">
        <x:v>ASH STOCK — Pre-Rise Pattern Tracker</x:v>
      </x:c>
      <x:c r="L2" s="20" t="str">
        <x:v>ASH STOCK — Pre-Rise Pattern Tracker</x:v>
      </x:c>
    </x:row>
    <x:row r="3" ht="20" customHeight="1">
      <x:c r="A3" s="29" t="str">
        <x:v>Evidence audit as of 2026-07-31 | 32,201 stock-days | 16 stocks | observational and paper-only</x:v>
      </x:c>
      <x:c r="B3" s="30" t="str">
        <x:v>Evidence audit as of 2026-07-31 | 32,201 stock-days | 16 stocks | observational and paper-only</x:v>
      </x:c>
      <x:c r="C3" s="30" t="str">
        <x:v>Evidence audit as of 2026-07-31 | 32,201 stock-days | 16 stocks | observational and paper-only</x:v>
      </x:c>
      <x:c r="D3" s="30" t="str">
        <x:v>Evidence audit as of 2026-07-31 | 32,201 stock-days | 16 stocks | observational and paper-only</x:v>
      </x:c>
      <x:c r="E3" s="30" t="str">
        <x:v>Evidence audit as of 2026-07-31 | 32,201 stock-days | 16 stocks | observational and paper-only</x:v>
      </x:c>
      <x:c r="F3" s="30" t="str">
        <x:v>Evidence audit as of 2026-07-31 | 32,201 stock-days | 16 stocks | observational and paper-only</x:v>
      </x:c>
      <x:c r="G3" s="30" t="str">
        <x:v>Evidence audit as of 2026-07-31 | 32,201 stock-days | 16 stocks | observational and paper-only</x:v>
      </x:c>
      <x:c r="H3" s="30" t="str">
        <x:v>Evidence audit as of 2026-07-31 | 32,201 stock-days | 16 stocks | observational and paper-only</x:v>
      </x:c>
      <x:c r="I3" s="30" t="str">
        <x:v>Evidence audit as of 2026-07-31 | 32,201 stock-days | 16 stocks | observational and paper-only</x:v>
      </x:c>
      <x:c r="J3" s="30" t="str">
        <x:v>Evidence audit as of 2026-07-31 | 32,201 stock-days | 16 stocks | observational and paper-only</x:v>
      </x:c>
      <x:c r="K3" s="30" t="str">
        <x:v>Evidence audit as of 2026-07-31 | 32,201 stock-days | 16 stocks | observational and paper-only</x:v>
      </x:c>
      <x:c r="L3" s="31" t="str">
        <x:v>Evidence audit as of 2026-07-31 | 32,201 stock-days | 16 stocks | observational and paper-only</x:v>
      </x:c>
    </x:row>
    <x:row r="4" ht="20" customHeight="1"/>
    <x:row r="5" ht="20" customHeight="1">
      <x:c r="A5" s="79" t="str">
        <x:v>Universal identical sign?</x:v>
      </x:c>
      <x:c r="B5" s="79" t="str">
        <x:v>Universal identical sign?</x:v>
      </x:c>
      <x:c r="C5" s="79" t="str">
        <x:v>Universal identical sign?</x:v>
      </x:c>
      <x:c r="D5" s="79" t="str">
        <x:v>Strong test lift</x:v>
      </x:c>
      <x:c r="E5" s="79" t="str">
        <x:v>Strong test lift</x:v>
      </x:c>
      <x:c r="F5" s="79" t="str">
        <x:v>Strong test lift</x:v>
      </x:c>
      <x:c r="G5" s="79" t="str">
        <x:v>Strong test precision</x:v>
      </x:c>
      <x:c r="H5" s="79" t="str">
        <x:v>Strong test precision</x:v>
      </x:c>
      <x:c r="I5" s="79" t="str">
        <x:v>Strong test precision</x:v>
      </x:c>
      <x:c r="J5" s="79" t="str">
        <x:v>Median lead</x:v>
      </x:c>
      <x:c r="K5" s="79" t="str">
        <x:v>Median lead</x:v>
      </x:c>
      <x:c r="L5" s="79" t="str">
        <x:v>Median lead</x:v>
      </x:c>
    </x:row>
    <x:row r="6" ht="20" customHeight="1">
      <x:c r="A6" s="93" t="str">
        <x:v>NO</x:v>
      </x:c>
      <x:c r="B6" s="94" t="str">
        <x:v>NO</x:v>
      </x:c>
      <x:c r="C6" s="95" t="str">
        <x:v>NO</x:v>
      </x:c>
      <x:c r="D6" s="129" t="n">
        <x:f>'Signal Ranking'!J6</x:f>
        <x:v>1.9492987287228731</x:v>
      </x:c>
      <x:c r="E6" s="130"/>
      <x:c r="F6" s="131"/>
      <x:c r="G6" s="135" t="n">
        <x:f>'Signal Ranking'!I6</x:f>
        <x:v>0.1559633027522936</x:v>
      </x:c>
      <x:c r="H6" s="136"/>
      <x:c r="I6" s="137"/>
      <x:c r="J6" s="141" t="n">
        <x:v>8</x:v>
      </x:c>
      <x:c r="K6" s="142" t="n">
        <x:v>8</x:v>
      </x:c>
      <x:c r="L6" s="143" t="n">
        <x:v>8</x:v>
      </x:c>
    </x:row>
    <x:row r="7" ht="20" customHeight="1">
      <x:c r="A7" s="96" t="str">
        <x:v>NO</x:v>
      </x:c>
      <x:c r="B7" s="97" t="str">
        <x:v>NO</x:v>
      </x:c>
      <x:c r="C7" s="98" t="str">
        <x:v>NO</x:v>
      </x:c>
      <x:c r="D7" s="132"/>
      <x:c r="E7" s="133"/>
      <x:c r="F7" s="134"/>
      <x:c r="G7" s="138"/>
      <x:c r="H7" s="139"/>
      <x:c r="I7" s="140"/>
      <x:c r="J7" s="144" t="n">
        <x:v>8</x:v>
      </x:c>
      <x:c r="K7" s="145" t="n">
        <x:v>8</x:v>
      </x:c>
      <x:c r="L7" s="146" t="n">
        <x:v>8</x:v>
      </x:c>
    </x:row>
    <x:row r="8" ht="20" customHeight="1">
      <x:c r="A8" s="107" t="str">
        <x:v>No single signal appears before every rise.</x:v>
      </x:c>
      <x:c r="B8" s="108" t="str">
        <x:v>No single signal appears before every rise.</x:v>
      </x:c>
      <x:c r="C8" s="109" t="str">
        <x:v>No single signal appears before every rise.</x:v>
      </x:c>
      <x:c r="D8" s="107" t="str">
        <x:v>1.949x in 2021-2026.</x:v>
      </x:c>
      <x:c r="E8" s="108" t="str">
        <x:v>1.949x in 2021-2026.</x:v>
      </x:c>
      <x:c r="F8" s="109" t="str">
        <x:v>1.949x in 2021-2026.</x:v>
      </x:c>
      <x:c r="G8" s="107" t="str">
        <x:v>15.60% versus 8.00% base.</x:v>
      </x:c>
      <x:c r="H8" s="108" t="str">
        <x:v>15.60% versus 8.00% base.</x:v>
      </x:c>
      <x:c r="I8" s="109" t="str">
        <x:v>15.60% versus 8.00% base.</x:v>
      </x:c>
      <x:c r="J8" s="107" t="str">
        <x:v>8 sessions in temporal test.</x:v>
      </x:c>
      <x:c r="K8" s="108" t="str">
        <x:v>8 sessions in temporal test.</x:v>
      </x:c>
      <x:c r="L8" s="109" t="str">
        <x:v>8 sessions in temporal test.</x:v>
      </x:c>
    </x:row>
    <x:row r="9" ht="20" customHeight="1"/>
    <x:row r="10" ht="20" customHeight="1">
      <x:c r="A10" s="65" t="str">
        <x:v>What repeated before the rise</x:v>
      </x:c>
      <x:c r="B10" s="65" t="str">
        <x:v>What repeated before the rise</x:v>
      </x:c>
      <x:c r="C10" s="65" t="str">
        <x:v>What repeated before the rise</x:v>
      </x:c>
      <x:c r="D10" s="65" t="str">
        <x:v>What repeated before the rise</x:v>
      </x:c>
      <x:c r="E10" s="65" t="str">
        <x:v>What repeated before the rise</x:v>
      </x:c>
      <x:c r="F10" s="65" t="str">
        <x:v>What repeated before the rise</x:v>
      </x:c>
      <x:c r="G10" s="65" t="str">
        <x:v>What repeated before the rise</x:v>
      </x:c>
      <x:c r="H10" s="65" t="str">
        <x:v>What repeated before the rise</x:v>
      </x:c>
      <x:c r="I10" s="65" t="str">
        <x:v>What repeated before the rise</x:v>
      </x:c>
      <x:c r="J10" s="65" t="str">
        <x:v>What repeated before the rise</x:v>
      </x:c>
      <x:c r="K10" s="65" t="str">
        <x:v>What repeated before the rise</x:v>
      </x:c>
      <x:c r="L10" s="65" t="str">
        <x:v>What repeated before the rise</x:v>
      </x:c>
    </x:row>
    <x:row r="11" ht="20" customHeight="1">
      <x:c r="A11" s="148" t="str">
        <x:v>1</x:v>
      </x:c>
      <x:c r="B11" s="149" t="str">
        <x:v>Compression</x:v>
      </x:c>
      <x:c r="C11" s="150" t="str">
        <x:v>Two or more inside bars appeared in the last 10 comparisons.</x:v>
      </x:c>
      <x:c r="D11" s="150"/>
      <x:c r="E11" s="150"/>
      <x:c r="F11" s="150"/>
      <x:c r="G11" s="150"/>
      <x:c r="H11" s="150"/>
      <x:c r="I11" s="150"/>
      <x:c r="J11" s="150"/>
      <x:c r="K11" s="150"/>
      <x:c r="L11" s="151"/>
    </x:row>
    <x:row r="12" ht="20" customHeight="1">
      <x:c r="A12" s="152" t="str">
        <x:v>2</x:v>
      </x:c>
      <x:c r="B12" s="153" t="str">
        <x:v>Ignition</x:v>
      </x:c>
      <x:c r="C12" s="154" t="str">
        <x:v>The latest close was positive and volume reached at least 1.5x its 20-session average.</x:v>
      </x:c>
      <x:c r="D12" s="154"/>
      <x:c r="E12" s="154"/>
      <x:c r="F12" s="154"/>
      <x:c r="G12" s="154"/>
      <x:c r="H12" s="154"/>
      <x:c r="I12" s="154"/>
      <x:c r="J12" s="154"/>
      <x:c r="K12" s="154"/>
      <x:c r="L12" s="155"/>
    </x:row>
    <x:row r="13" ht="20" customHeight="1">
      <x:c r="A13" s="152" t="str">
        <x:v>3</x:v>
      </x:c>
      <x:c r="B13" s="153" t="str">
        <x:v>Strong state</x:v>
      </x:c>
      <x:c r="C13" s="154" t="str">
        <x:v>Three or more inside bars plus the same volume ignition raised full-sample odds by 1.563x.</x:v>
      </x:c>
      <x:c r="D13" s="154"/>
      <x:c r="E13" s="154"/>
      <x:c r="F13" s="154"/>
      <x:c r="G13" s="154"/>
      <x:c r="H13" s="154"/>
      <x:c r="I13" s="154"/>
      <x:c r="J13" s="154"/>
      <x:c r="K13" s="154"/>
      <x:c r="L13" s="155"/>
    </x:row>
    <x:row r="14" ht="20" customHeight="1">
      <x:c r="A14" s="156" t="str">
        <x:v>4</x:v>
      </x:c>
      <x:c r="B14" s="157" t="str">
        <x:v>Governance</x:v>
      </x:c>
      <x:c r="C14" s="158" t="str">
        <x:v>The tracker is display-only and does not change ranking, sizing, Kelly, or order permission.</x:v>
      </x:c>
      <x:c r="D14" s="158"/>
      <x:c r="E14" s="158"/>
      <x:c r="F14" s="158"/>
      <x:c r="G14" s="158"/>
      <x:c r="H14" s="158"/>
      <x:c r="I14" s="158"/>
      <x:c r="J14" s="158"/>
      <x:c r="K14" s="158"/>
      <x:c r="L14" s="159"/>
    </x:row>
    <x:row r="15" ht="20" customHeight="1"/>
    <x:row r="16" ht="20" customHeight="1">
      <x:c r="G16" s="65" t="str">
        <x:v>Current interpretation</x:v>
      </x:c>
      <x:c r="H16" s="65" t="str">
        <x:v>Current interpretation</x:v>
      </x:c>
      <x:c r="I16" s="65" t="str">
        <x:v>Current interpretation</x:v>
      </x:c>
      <x:c r="J16" s="65" t="str">
        <x:v>Current interpretation</x:v>
      </x:c>
      <x:c r="K16" s="65" t="str">
        <x:v>Current interpretation</x:v>
      </x:c>
      <x:c r="L16" s="65" t="str">
        <x:v>Current interpretation</x:v>
      </x:c>
    </x:row>
    <x:row r="17" ht="20" customHeight="1">
      <x:c r="G17" s="180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17" s="181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17" s="181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17" s="181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17" s="181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17" s="182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18" ht="20" customHeight="1">
      <x:c r="G18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18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18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18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18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18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19" ht="20" customHeight="1">
      <x:c r="G19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19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19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19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19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19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0" ht="20" customHeight="1">
      <x:c r="G20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20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20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20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20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20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1" ht="20" customHeight="1">
      <x:c r="G21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21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21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21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21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21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2" ht="20" customHeight="1">
      <x:c r="G22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22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22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22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22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22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3" ht="20" customHeight="1">
      <x:c r="G23" s="183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23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23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23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23" s="184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23" s="185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4" ht="20" customHeight="1">
      <x:c r="G24" s="186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H24" s="187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I24" s="187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J24" s="187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K24" s="187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  <x:c r="L24" s="188" t="str">
        <x:v>The common pre-rise structure is not a magic signal. Compression followed by positive volume ignition repeated across all four time blocks and improved conditional odds, but the strong pattern fired only 221 times and captured roughly 1.1% of labeled rise-days. Most rises used a different path. Treat STRONG as a research alert, not a prediction or permission to buy.</x:v>
      </x:c>
    </x:row>
    <x:row r="25" ht="20" customHeight="1"/>
    <x:row r="26" ht="20" customHeight="1">
      <x:c r="G26" s="65" t="str">
        <x:v>Clean state</x:v>
      </x:c>
      <x:c r="H26" s="65" t="str">
        <x:v>Clean state</x:v>
      </x:c>
      <x:c r="I26" s="65" t="str">
        <x:v>Clean state</x:v>
      </x:c>
      <x:c r="J26" s="65" t="str">
        <x:v>Clean state</x:v>
      </x:c>
      <x:c r="K26" s="65" t="str">
        <x:v>Clean state</x:v>
      </x:c>
      <x:c r="L26" s="65" t="str">
        <x:v>Clean state</x:v>
      </x:c>
    </x:row>
    <x:row r="27" ht="20" customHeight="1">
      <x:c r="G27" s="208" t="str">
        <x:v>Tracker: ACTIVE OBSERVATION
Edge confirmed: NO
Live ready: NO
Scanner ranking impact: NONE
Position/Kelly/order impact: NONE</x:v>
      </x:c>
      <x:c r="H27" s="209" t="str">
        <x:v>Tracker: ACTIVE OBSERVATION
Edge confirmed: NO
Live ready: NO
Scanner ranking impact: NONE
Position/Kelly/order impact: NONE</x:v>
      </x:c>
      <x:c r="I27" s="209" t="str">
        <x:v>Tracker: ACTIVE OBSERVATION
Edge confirmed: NO
Live ready: NO
Scanner ranking impact: NONE
Position/Kelly/order impact: NONE</x:v>
      </x:c>
      <x:c r="J27" s="209" t="str">
        <x:v>Tracker: ACTIVE OBSERVATION
Edge confirmed: NO
Live ready: NO
Scanner ranking impact: NONE
Position/Kelly/order impact: NONE</x:v>
      </x:c>
      <x:c r="K27" s="209" t="str">
        <x:v>Tracker: ACTIVE OBSERVATION
Edge confirmed: NO
Live ready: NO
Scanner ranking impact: NONE
Position/Kelly/order impact: NONE</x:v>
      </x:c>
      <x:c r="L27" s="210" t="str">
        <x:v>Tracker: ACTIVE OBSERVATION
Edge confirmed: NO
Live ready: NO
Scanner ranking impact: NONE
Position/Kelly/order impact: NONE</x:v>
      </x:c>
    </x:row>
    <x:row r="28" ht="20" customHeight="1">
      <x:c r="G28" s="211" t="str">
        <x:v>Tracker: ACTIVE OBSERVATION
Edge confirmed: NO
Live ready: NO
Scanner ranking impact: NONE
Position/Kelly/order impact: NONE</x:v>
      </x:c>
      <x:c r="H28" s="212" t="str">
        <x:v>Tracker: ACTIVE OBSERVATION
Edge confirmed: NO
Live ready: NO
Scanner ranking impact: NONE
Position/Kelly/order impact: NONE</x:v>
      </x:c>
      <x:c r="I28" s="212" t="str">
        <x:v>Tracker: ACTIVE OBSERVATION
Edge confirmed: NO
Live ready: NO
Scanner ranking impact: NONE
Position/Kelly/order impact: NONE</x:v>
      </x:c>
      <x:c r="J28" s="212" t="str">
        <x:v>Tracker: ACTIVE OBSERVATION
Edge confirmed: NO
Live ready: NO
Scanner ranking impact: NONE
Position/Kelly/order impact: NONE</x:v>
      </x:c>
      <x:c r="K28" s="212" t="str">
        <x:v>Tracker: ACTIVE OBSERVATION
Edge confirmed: NO
Live ready: NO
Scanner ranking impact: NONE
Position/Kelly/order impact: NONE</x:v>
      </x:c>
      <x:c r="L28" s="213" t="str">
        <x:v>Tracker: ACTIVE OBSERVATION
Edge confirmed: NO
Live ready: NO
Scanner ranking impact: NONE
Position/Kelly/order impact: NONE</x:v>
      </x:c>
    </x:row>
    <x:row r="29" ht="20" customHeight="1">
      <x:c r="G29" s="211" t="str">
        <x:v>Tracker: ACTIVE OBSERVATION
Edge confirmed: NO
Live ready: NO
Scanner ranking impact: NONE
Position/Kelly/order impact: NONE</x:v>
      </x:c>
      <x:c r="H29" s="212" t="str">
        <x:v>Tracker: ACTIVE OBSERVATION
Edge confirmed: NO
Live ready: NO
Scanner ranking impact: NONE
Position/Kelly/order impact: NONE</x:v>
      </x:c>
      <x:c r="I29" s="212" t="str">
        <x:v>Tracker: ACTIVE OBSERVATION
Edge confirmed: NO
Live ready: NO
Scanner ranking impact: NONE
Position/Kelly/order impact: NONE</x:v>
      </x:c>
      <x:c r="J29" s="212" t="str">
        <x:v>Tracker: ACTIVE OBSERVATION
Edge confirmed: NO
Live ready: NO
Scanner ranking impact: NONE
Position/Kelly/order impact: NONE</x:v>
      </x:c>
      <x:c r="K29" s="212" t="str">
        <x:v>Tracker: ACTIVE OBSERVATION
Edge confirmed: NO
Live ready: NO
Scanner ranking impact: NONE
Position/Kelly/order impact: NONE</x:v>
      </x:c>
      <x:c r="L29" s="213" t="str">
        <x:v>Tracker: ACTIVE OBSERVATION
Edge confirmed: NO
Live ready: NO
Scanner ranking impact: NONE
Position/Kelly/order impact: NONE</x:v>
      </x:c>
    </x:row>
    <x:row r="30" ht="20" customHeight="1">
      <x:c r="G30" s="211" t="str">
        <x:v>Tracker: ACTIVE OBSERVATION
Edge confirmed: NO
Live ready: NO
Scanner ranking impact: NONE
Position/Kelly/order impact: NONE</x:v>
      </x:c>
      <x:c r="H30" s="212" t="str">
        <x:v>Tracker: ACTIVE OBSERVATION
Edge confirmed: NO
Live ready: NO
Scanner ranking impact: NONE
Position/Kelly/order impact: NONE</x:v>
      </x:c>
      <x:c r="I30" s="212" t="str">
        <x:v>Tracker: ACTIVE OBSERVATION
Edge confirmed: NO
Live ready: NO
Scanner ranking impact: NONE
Position/Kelly/order impact: NONE</x:v>
      </x:c>
      <x:c r="J30" s="212" t="str">
        <x:v>Tracker: ACTIVE OBSERVATION
Edge confirmed: NO
Live ready: NO
Scanner ranking impact: NONE
Position/Kelly/order impact: NONE</x:v>
      </x:c>
      <x:c r="K30" s="212" t="str">
        <x:v>Tracker: ACTIVE OBSERVATION
Edge confirmed: NO
Live ready: NO
Scanner ranking impact: NONE
Position/Kelly/order impact: NONE</x:v>
      </x:c>
      <x:c r="L30" s="213" t="str">
        <x:v>Tracker: ACTIVE OBSERVATION
Edge confirmed: NO
Live ready: NO
Scanner ranking impact: NONE
Position/Kelly/order impact: NONE</x:v>
      </x:c>
    </x:row>
    <x:row r="31" ht="20" customHeight="1">
      <x:c r="G31" s="214" t="str">
        <x:v>Tracker: ACTIVE OBSERVATION
Edge confirmed: NO
Live ready: NO
Scanner ranking impact: NONE
Position/Kelly/order impact: NONE</x:v>
      </x:c>
      <x:c r="H31" s="215" t="str">
        <x:v>Tracker: ACTIVE OBSERVATION
Edge confirmed: NO
Live ready: NO
Scanner ranking impact: NONE
Position/Kelly/order impact: NONE</x:v>
      </x:c>
      <x:c r="I31" s="215" t="str">
        <x:v>Tracker: ACTIVE OBSERVATION
Edge confirmed: NO
Live ready: NO
Scanner ranking impact: NONE
Position/Kelly/order impact: NONE</x:v>
      </x:c>
      <x:c r="J31" s="215" t="str">
        <x:v>Tracker: ACTIVE OBSERVATION
Edge confirmed: NO
Live ready: NO
Scanner ranking impact: NONE
Position/Kelly/order impact: NONE</x:v>
      </x:c>
      <x:c r="K31" s="215" t="str">
        <x:v>Tracker: ACTIVE OBSERVATION
Edge confirmed: NO
Live ready: NO
Scanner ranking impact: NONE
Position/Kelly/order impact: NONE</x:v>
      </x:c>
      <x:c r="L31" s="216" t="str">
        <x:v>Tracker: ACTIVE OBSERVATION
Edge confirmed: NO
Live ready: NO
Scanner ranking impact: NONE
Position/Kelly/order impact: NONE</x:v>
      </x:c>
    </x:row>
    <x:row r="32" ht="20" customHeight="1"/>
    <x:row r="33" ht="20" customHeight="1">
      <x:c r="A33" s="43" t="str">
        <x:v>Pattern / Period</x:v>
      </x:c>
      <x:c r="B33" s="44" t="str">
        <x:v>Base Rate</x:v>
      </x:c>
      <x:c r="C33" s="45" t="str">
        <x:v>Pattern Precision</x:v>
      </x:c>
    </x:row>
    <x:row r="34" ht="20" customHeight="1">
      <x:c r="A34" t="str">
        <x:v>WATCH Full</x:v>
      </x:c>
      <x:c r="B34" s="160" t="n">
        <x:v>0.10420065905237227</x:v>
      </x:c>
      <x:c r="C34" s="160" t="n">
        <x:v>0.13793103448275862</x:v>
      </x:c>
    </x:row>
    <x:row r="35" ht="20" customHeight="1">
      <x:c r="A35" t="str">
        <x:v>WATCH Test</x:v>
      </x:c>
      <x:c r="B35" s="160" t="n">
        <x:v>0.08000995458221863</x:v>
      </x:c>
      <x:c r="C35" s="160" t="n">
        <x:v>0.10966057441253264</x:v>
      </x:c>
    </x:row>
    <x:row r="36" ht="20" customHeight="1">
      <x:c r="A36" t="str">
        <x:v>STRONG Full</x:v>
      </x:c>
      <x:c r="B36" s="160" t="n">
        <x:v>0.10420065905237227</x:v>
      </x:c>
      <x:c r="C36" s="160" t="n">
        <x:v>0.16289592760180996</x:v>
      </x:c>
    </x:row>
    <x:row r="37" ht="20" customHeight="1">
      <x:c r="A37" t="str">
        <x:v>STRONG Test</x:v>
      </x:c>
      <x:c r="B37" s="160" t="n">
        <x:v>0.08000995458221863</x:v>
      </x:c>
      <x:c r="C37" s="160" t="n">
        <x:v>0.1559633027522936</x:v>
      </x:c>
    </x:row>
    <x:row r="38" ht="20" customHeight="1"/>
  </x:sheetData>
  <x:mergeCells>
    <x:mergeCell ref="A1:L2"/>
    <x:mergeCell ref="A3:L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A10:L10"/>
    <x:mergeCell ref="C11:L11"/>
    <x:mergeCell ref="C12:L12"/>
    <x:mergeCell ref="C13:L13"/>
    <x:mergeCell ref="C14:L14"/>
    <x:mergeCell ref="G16:L16"/>
    <x:mergeCell ref="G17:L24"/>
    <x:mergeCell ref="G26:L26"/>
    <x:mergeCell ref="G27:L31"/>
  </x:mergeCells>
  <x:pageMargins left="0.7" right="0.7" top="0.75" bottom="0.75" header="0.3" footer="0.3"/>
  <x:drawing xmlns:r="http://schemas.openxmlformats.org/officeDocument/2006/relationships" r:id="R5e22bf297f3846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1" hidden="0" customWidth="1"/>
    <x:col min="8" max="8" width="13" hidden="0" customWidth="1"/>
    <x:col min="9" max="9" width="13" hidden="0" customWidth="1"/>
    <x:col min="10" max="10" width="10" hidden="0" customWidth="1"/>
    <x:col min="11" max="11" width="10" hidden="0" customWidth="1"/>
    <x:col min="12" max="12" width="11" hidden="0" customWidth="1"/>
    <x:col min="13" max="13" width="14" hidden="0" customWidth="1"/>
    <x:col min="14" max="14" width="11" hidden="0" customWidth="1"/>
    <x:col min="15" max="15" width="12" hidden="0" customWidth="1"/>
    <x:col min="16" max="16" width="11" hidden="0" customWidth="1"/>
    <x:col min="17" max="17" width="13" hidden="0" customWidth="1"/>
    <x:col min="18" max="18" width="13" hidden="0" customWidth="1"/>
    <x:col min="19" max="19" width="18" hidden="0" customWidth="1"/>
    <x:col min="20" max="20" width="38" hidden="0" customWidth="1"/>
  </x:cols>
  <x:sheetData>
    <x:row r="1">
      <x:c r="A1" s="15" t="str">
        <x:v>Signal Ranking — leakage-controlled 8% / 10-session test</x:v>
      </x:c>
      <x:c r="B1" s="16" t="str">
        <x:v>Signal Ranking — leakage-controlled 8% / 10-session test</x:v>
      </x:c>
      <x:c r="C1" s="16" t="str">
        <x:v>Signal Ranking — leakage-controlled 8% / 10-session test</x:v>
      </x:c>
      <x:c r="D1" s="16" t="str">
        <x:v>Signal Ranking — leakage-controlled 8% / 10-session test</x:v>
      </x:c>
      <x:c r="E1" s="16" t="str">
        <x:v>Signal Ranking — leakage-controlled 8% / 10-session test</x:v>
      </x:c>
      <x:c r="F1" s="16" t="str">
        <x:v>Signal Ranking — leakage-controlled 8% / 10-session test</x:v>
      </x:c>
      <x:c r="G1" s="16" t="str">
        <x:v>Signal Ranking — leakage-controlled 8% / 10-session test</x:v>
      </x:c>
      <x:c r="H1" s="16" t="str">
        <x:v>Signal Ranking — leakage-controlled 8% / 10-session test</x:v>
      </x:c>
      <x:c r="I1" s="16" t="str">
        <x:v>Signal Ranking — leakage-controlled 8% / 10-session test</x:v>
      </x:c>
      <x:c r="J1" s="16" t="str">
        <x:v>Signal Ranking — leakage-controlled 8% / 10-session test</x:v>
      </x:c>
      <x:c r="K1" s="16" t="str">
        <x:v>Signal Ranking — leakage-controlled 8% / 10-session test</x:v>
      </x:c>
      <x:c r="L1" s="16" t="str">
        <x:v>Signal Ranking — leakage-controlled 8% / 10-session test</x:v>
      </x:c>
      <x:c r="M1" s="16" t="str">
        <x:v>Signal Ranking — leakage-controlled 8% / 10-session test</x:v>
      </x:c>
      <x:c r="N1" s="16" t="str">
        <x:v>Signal Ranking — leakage-controlled 8% / 10-session test</x:v>
      </x:c>
      <x:c r="O1" s="16" t="str">
        <x:v>Signal Ranking — leakage-controlled 8% / 10-session test</x:v>
      </x:c>
      <x:c r="P1" s="16" t="str">
        <x:v>Signal Ranking — leakage-controlled 8% / 10-session test</x:v>
      </x:c>
      <x:c r="Q1" s="16" t="str">
        <x:v>Signal Ranking — leakage-controlled 8% / 10-session test</x:v>
      </x:c>
      <x:c r="R1" s="16" t="str">
        <x:v>Signal Ranking — leakage-controlled 8% / 10-session test</x:v>
      </x:c>
      <x:c r="S1" s="16" t="str">
        <x:v>Signal Ranking — leakage-controlled 8% / 10-session test</x:v>
      </x:c>
      <x:c r="T1" s="17" t="str">
        <x:v>Signal Ranking — leakage-controlled 8% / 10-session test</x:v>
      </x:c>
    </x:row>
    <x:row r="2">
      <x:c r="A2" s="18" t="str">
        <x:v>Signal Ranking — leakage-controlled 8% / 10-session test</x:v>
      </x:c>
      <x:c r="B2" s="19" t="str">
        <x:v>Signal Ranking — leakage-controlled 8% / 10-session test</x:v>
      </x:c>
      <x:c r="C2" s="19" t="str">
        <x:v>Signal Ranking — leakage-controlled 8% / 10-session test</x:v>
      </x:c>
      <x:c r="D2" s="19" t="str">
        <x:v>Signal Ranking — leakage-controlled 8% / 10-session test</x:v>
      </x:c>
      <x:c r="E2" s="19" t="str">
        <x:v>Signal Ranking — leakage-controlled 8% / 10-session test</x:v>
      </x:c>
      <x:c r="F2" s="19" t="str">
        <x:v>Signal Ranking — leakage-controlled 8% / 10-session test</x:v>
      </x:c>
      <x:c r="G2" s="19" t="str">
        <x:v>Signal Ranking — leakage-controlled 8% / 10-session test</x:v>
      </x:c>
      <x:c r="H2" s="19" t="str">
        <x:v>Signal Ranking — leakage-controlled 8% / 10-session test</x:v>
      </x:c>
      <x:c r="I2" s="19" t="str">
        <x:v>Signal Ranking — leakage-controlled 8% / 10-session test</x:v>
      </x:c>
      <x:c r="J2" s="19" t="str">
        <x:v>Signal Ranking — leakage-controlled 8% / 10-session test</x:v>
      </x:c>
      <x:c r="K2" s="19" t="str">
        <x:v>Signal Ranking — leakage-controlled 8% / 10-session test</x:v>
      </x:c>
      <x:c r="L2" s="19" t="str">
        <x:v>Signal Ranking — leakage-controlled 8% / 10-session test</x:v>
      </x:c>
      <x:c r="M2" s="19" t="str">
        <x:v>Signal Ranking — leakage-controlled 8% / 10-session test</x:v>
      </x:c>
      <x:c r="N2" s="19" t="str">
        <x:v>Signal Ranking — leakage-controlled 8% / 10-session test</x:v>
      </x:c>
      <x:c r="O2" s="19" t="str">
        <x:v>Signal Ranking — leakage-controlled 8% / 10-session test</x:v>
      </x:c>
      <x:c r="P2" s="19" t="str">
        <x:v>Signal Ranking — leakage-controlled 8% / 10-session test</x:v>
      </x:c>
      <x:c r="Q2" s="19" t="str">
        <x:v>Signal Ranking — leakage-controlled 8% / 10-session test</x:v>
      </x:c>
      <x:c r="R2" s="19" t="str">
        <x:v>Signal Ranking — leakage-controlled 8% / 10-session test</x:v>
      </x:c>
      <x:c r="S2" s="19" t="str">
        <x:v>Signal Ranking — leakage-controlled 8% / 10-session test</x:v>
      </x:c>
      <x:c r="T2" s="20" t="str">
        <x:v>Signal Ranking — leakage-controlled 8% / 10-session test</x:v>
      </x:c>
    </x:row>
    <x:row r="3">
      <x:c r="A3" s="29" t="str">
        <x:v>Filter by train/test lift, precision, fires, cross-stock consistency, or status. The two active rows are display-only tracker states.</x:v>
      </x:c>
      <x:c r="B3" s="30" t="str">
        <x:v>Filter by train/test lift, precision, fires, cross-stock consistency, or status. The two active rows are display-only tracker states.</x:v>
      </x:c>
      <x:c r="C3" s="30" t="str">
        <x:v>Filter by train/test lift, precision, fires, cross-stock consistency, or status. The two active rows are display-only tracker states.</x:v>
      </x:c>
      <x:c r="D3" s="30" t="str">
        <x:v>Filter by train/test lift, precision, fires, cross-stock consistency, or status. The two active rows are display-only tracker states.</x:v>
      </x:c>
      <x:c r="E3" s="30" t="str">
        <x:v>Filter by train/test lift, precision, fires, cross-stock consistency, or status. The two active rows are display-only tracker states.</x:v>
      </x:c>
      <x:c r="F3" s="30" t="str">
        <x:v>Filter by train/test lift, precision, fires, cross-stock consistency, or status. The two active rows are display-only tracker states.</x:v>
      </x:c>
      <x:c r="G3" s="30" t="str">
        <x:v>Filter by train/test lift, precision, fires, cross-stock consistency, or status. The two active rows are display-only tracker states.</x:v>
      </x:c>
      <x:c r="H3" s="30" t="str">
        <x:v>Filter by train/test lift, precision, fires, cross-stock consistency, or status. The two active rows are display-only tracker states.</x:v>
      </x:c>
      <x:c r="I3" s="30" t="str">
        <x:v>Filter by train/test lift, precision, fires, cross-stock consistency, or status. The two active rows are display-only tracker states.</x:v>
      </x:c>
      <x:c r="J3" s="30" t="str">
        <x:v>Filter by train/test lift, precision, fires, cross-stock consistency, or status. The two active rows are display-only tracker states.</x:v>
      </x:c>
      <x:c r="K3" s="30" t="str">
        <x:v>Filter by train/test lift, precision, fires, cross-stock consistency, or status. The two active rows are display-only tracker states.</x:v>
      </x:c>
      <x:c r="L3" s="30" t="str">
        <x:v>Filter by train/test lift, precision, fires, cross-stock consistency, or status. The two active rows are display-only tracker states.</x:v>
      </x:c>
      <x:c r="M3" s="30" t="str">
        <x:v>Filter by train/test lift, precision, fires, cross-stock consistency, or status. The two active rows are display-only tracker states.</x:v>
      </x:c>
      <x:c r="N3" s="30" t="str">
        <x:v>Filter by train/test lift, precision, fires, cross-stock consistency, or status. The two active rows are display-only tracker states.</x:v>
      </x:c>
      <x:c r="O3" s="30" t="str">
        <x:v>Filter by train/test lift, precision, fires, cross-stock consistency, or status. The two active rows are display-only tracker states.</x:v>
      </x:c>
      <x:c r="P3" s="30" t="str">
        <x:v>Filter by train/test lift, precision, fires, cross-stock consistency, or status. The two active rows are display-only tracker states.</x:v>
      </x:c>
      <x:c r="Q3" s="30" t="str">
        <x:v>Filter by train/test lift, precision, fires, cross-stock consistency, or status. The two active rows are display-only tracker states.</x:v>
      </x:c>
      <x:c r="R3" s="30" t="str">
        <x:v>Filter by train/test lift, precision, fires, cross-stock consistency, or status. The two active rows are display-only tracker states.</x:v>
      </x:c>
      <x:c r="S3" s="30" t="str">
        <x:v>Filter by train/test lift, precision, fires, cross-stock consistency, or status. The two active rows are display-only tracker states.</x:v>
      </x:c>
      <x:c r="T3" s="31" t="str">
        <x:v>Filter by train/test lift, precision, fires, cross-stock consistency, or status. The two active rows are display-only tracker states.</x:v>
      </x:c>
    </x:row>
    <x:row r="5">
      <x:c r="A5" s="43" t="str">
        <x:v>Signal ID</x:v>
      </x:c>
      <x:c r="B5" s="44" t="str">
        <x:v>Full Fires</x:v>
      </x:c>
      <x:c r="C5" s="44" t="str">
        <x:v>Full Base Rate</x:v>
      </x:c>
      <x:c r="D5" s="44" t="str">
        <x:v>Full Precision</x:v>
      </x:c>
      <x:c r="E5" s="44" t="str">
        <x:v>Full Lift</x:v>
      </x:c>
      <x:c r="F5" s="44" t="str">
        <x:v>Full Z</x:v>
      </x:c>
      <x:c r="G5" s="44" t="str">
        <x:v>Test Fires</x:v>
      </x:c>
      <x:c r="H5" s="44" t="str">
        <x:v>Test Base Rate</x:v>
      </x:c>
      <x:c r="I5" s="44" t="str">
        <x:v>Test Precision</x:v>
      </x:c>
      <x:c r="J5" s="44" t="str">
        <x:v>Test Lift</x:v>
      </x:c>
      <x:c r="K5" s="44" t="str">
        <x:v>Test Z</x:v>
      </x:c>
      <x:c r="L5" s="44" t="str">
        <x:v>Train Fires</x:v>
      </x:c>
      <x:c r="M5" s="44" t="str">
        <x:v>Train Precision</x:v>
      </x:c>
      <x:c r="N5" s="44" t="str">
        <x:v>Train Lift</x:v>
      </x:c>
      <x:c r="O5" s="44" t="str">
        <x:v>Median Lead Days</x:v>
      </x:c>
      <x:c r="P5" s="44" t="str">
        <x:v>Full Recall</x:v>
      </x:c>
      <x:c r="Q5" s="44" t="str">
        <x:v>Symbols Lift &gt; 1</x:v>
      </x:c>
      <x:c r="R5" s="44" t="str">
        <x:v>Eligible Symbols</x:v>
      </x:c>
      <x:c r="S5" s="44" t="str">
        <x:v>Status</x:v>
      </x:c>
      <x:c r="T5" s="45" t="str">
        <x:v>Notes</x:v>
      </x:c>
    </x:row>
    <x:row r="6">
      <x:c r="A6" s="48" t="str">
        <x:v>COMPRESSION_TO_VOLUME_IGNITION</x:v>
      </x:c>
      <x:c r="B6" t="n">
        <x:v>221</x:v>
      </x:c>
      <x:c r="C6" s="46" t="n">
        <x:v>0.10420065905237227</x:v>
      </x:c>
      <x:c r="D6" s="46" t="n">
        <x:v>0.16289592760180996</x:v>
      </x:c>
      <x:c r="E6" s="47" t="n">
        <x:v>1.563290761145156</x:v>
      </x:c>
      <x:c r="F6" s="47" t="n">
        <x:v>2.8661532202407685</x:v>
      </x:c>
      <x:c r="G6" t="n">
        <x:v>109</x:v>
      </x:c>
      <x:c r="H6" s="46" t="n">
        <x:v>0.08000995458221863</x:v>
      </x:c>
      <x:c r="I6" s="46" t="n">
        <x:v>0.1559633027522936</x:v>
      </x:c>
      <x:c r="J6" s="47" t="n">
        <x:v>1.9492987287228731</x:v>
      </x:c>
      <x:c r="K6" s="47" t="n">
        <x:v>2.9327443643001216</x:v>
      </x:c>
      <x:c r="L6" t="n">
        <x:v>112</x:v>
      </x:c>
      <x:c r="M6" s="46" t="n">
        <x:v>0.16964285714285715</x:v>
      </x:c>
      <x:c r="N6" s="47" t="n">
        <x:v>1.3068783068783068</x:v>
      </x:c>
      <x:c r="O6" t="n">
        <x:v>7</x:v>
      </x:c>
      <x:c r="P6" s="46" t="n">
        <x:v>0.01105311636475284</x:v>
      </x:c>
      <x:c r="Q6" t="n">
        <x:v>8</x:v>
      </x:c>
      <x:c r="R6" t="n">
        <x:v>11</x:v>
      </x:c>
      <x:c r="S6" t="str">
        <x:v>ACTIVE STRONG</x:v>
      </x:c>
      <x:c r="T6" s="49" t="str">
        <x:v>Observable lead pattern; never trade permission.</x:v>
      </x:c>
    </x:row>
    <x:row r="7">
      <x:c r="A7" s="48" t="str">
        <x:v>COMPRESSION_VOLUME_IGNITION_WATCH</x:v>
      </x:c>
      <x:c r="B7" t="n">
        <x:v>841</x:v>
      </x:c>
      <x:c r="C7" s="46" t="n">
        <x:v>0.10420065905237227</x:v>
      </x:c>
      <x:c r="D7" s="46" t="n">
        <x:v>0.13793103448275862</x:v>
      </x:c>
      <x:c r="E7" s="47" t="n">
        <x:v>1.3237059701650555</x:v>
      </x:c>
      <x:c r="F7" s="47" t="n">
        <x:v>3.24564613037988</x:v>
      </x:c>
      <x:c r="G7" t="n">
        <x:v>383</x:v>
      </x:c>
      <x:c r="H7" s="46" t="n">
        <x:v>0.08000995458221863</x:v>
      </x:c>
      <x:c r="I7" s="46" t="n">
        <x:v>0.10966057441253264</x:v>
      </x:c>
      <x:c r="J7" s="47" t="n">
        <x:v>1.3705866349398423</x:v>
      </x:c>
      <x:c r="K7" s="47" t="n">
        <x:v>2.164744216430577</x:v>
      </x:c>
      <x:c r="L7" t="n">
        <x:v>458</x:v>
      </x:c>
      <x:c r="M7" s="46" t="n">
        <x:v>0.1615720524017467</x:v>
      </x:c>
      <x:c r="N7" s="47" t="n">
        <x:v>1.244703218502345</x:v>
      </x:c>
      <x:c r="O7" t="n">
        <x:v>7</x:v>
      </x:c>
      <x:c r="P7" s="46" t="n">
        <x:v>0.035615597175314706</x:v>
      </x:c>
      <x:c r="Q7" t="n">
        <x:v>10</x:v>
      </x:c>
      <x:c r="R7" t="n">
        <x:v>16</x:v>
      </x:c>
      <x:c r="S7" t="str">
        <x:v>ACTIVE WATCH</x:v>
      </x:c>
      <x:c r="T7" s="49" t="str">
        <x:v>Observable lead pattern; never trade permission.</x:v>
      </x:c>
    </x:row>
    <x:row r="8">
      <x:c r="A8" s="48" t="str">
        <x:v>COMPRESSED_RSI_CONFIRMATION</x:v>
      </x:c>
      <x:c r="B8" t="n">
        <x:v>2306</x:v>
      </x:c>
      <x:c r="C8" s="46" t="n">
        <x:v>0.10420065905237227</x:v>
      </x:c>
      <x:c r="D8" s="46" t="n">
        <x:v>0.1183868169991327</x:v>
      </x:c>
      <x:c r="E8" s="47" t="n">
        <x:v>1.1361426892667763</x:v>
      </x:c>
      <x:c r="F8" s="47" t="n">
        <x:v>2.3168381822760695</x:v>
      </x:c>
      <x:c r="G8" t="n">
        <x:v>1042</x:v>
      </x:c>
      <x:c r="H8" s="46" t="n">
        <x:v>0.08000995458221863</x:v>
      </x:c>
      <x:c r="I8" s="46" t="n">
        <x:v>0.09980806142034548</x:v>
      </x:c>
      <x:c r="J8" s="47" t="n">
        <x:v>1.2474455452637736</x:v>
      </x:c>
      <x:c r="K8" s="47" t="n">
        <x:v>2.4358384520818834</x:v>
      </x:c>
      <x:c r="L8" t="n">
        <x:v>1264</x:v>
      </x:c>
      <x:c r="M8" s="46" t="n">
        <x:v>0.1337025316455696</x:v>
      </x:c>
      <x:c r="N8" s="47" t="n">
        <x:v>1.0300046882325362</x:v>
      </x:c>
      <x:c r="O8" t="n">
        <x:v>7</x:v>
      </x:c>
      <x:c r="P8" s="46" t="n">
        <x:v>0.08381946576604236</x:v>
      </x:c>
      <x:c r="Q8" t="n">
        <x:v>10</x:v>
      </x:c>
      <x:c r="R8" t="n">
        <x:v>16</x:v>
      </x:c>
      <x:c r="S8" t="str">
        <x:v>SUPPORTING</x:v>
      </x:c>
      <x:c r="T8" s="49" t="str">
        <x:v>Compared as supporting or context evidence.</x:v>
      </x:c>
    </x:row>
    <x:row r="9">
      <x:c r="A9" s="48" t="str">
        <x:v>INSIDE_BARS_GE_3_OF_10</x:v>
      </x:c>
      <x:c r="B9" t="n">
        <x:v>4492</x:v>
      </x:c>
      <x:c r="C9" s="46" t="n">
        <x:v>0.10420065905237227</x:v>
      </x:c>
      <x:c r="D9" s="46" t="n">
        <x:v>0.10997328584149599</x:v>
      </x:c>
      <x:c r="E9" s="47" t="n">
        <x:v>1.055399138946159</x:v>
      </x:c>
      <x:c r="F9" s="47" t="n">
        <x:v>1.3684936122382187</x:v>
      </x:c>
      <x:c r="G9" t="n">
        <x:v>2106</x:v>
      </x:c>
      <x:c r="H9" s="46" t="n">
        <x:v>0.08000995458221863</x:v>
      </x:c>
      <x:c r="I9" s="46" t="n">
        <x:v>0.09306742640075974</x:v>
      </x:c>
      <x:c r="J9" s="47" t="n">
        <x:v>1.1631980906216262</x:v>
      </x:c>
      <x:c r="K9" s="47" t="n">
        <x:v>2.369308488452839</x:v>
      </x:c>
      <x:c r="L9" t="n">
        <x:v>2386</x:v>
      </x:c>
      <x:c r="M9" s="46" t="n">
        <x:v>0.12489522212908634</x:v>
      </x:c>
      <x:c r="N9" s="47" t="n">
        <x:v>0.9621557852907391</x:v>
      </x:c>
      <x:c r="O9" t="n">
        <x:v>7</x:v>
      </x:c>
      <x:c r="P9" s="46" t="n">
        <x:v>0.15167331900521952</x:v>
      </x:c>
      <x:c r="Q9" t="n">
        <x:v>8</x:v>
      </x:c>
      <x:c r="R9" t="n">
        <x:v>16</x:v>
      </x:c>
      <x:c r="S9" t="str">
        <x:v>SUPPORTING</x:v>
      </x:c>
      <x:c r="T9" s="49" t="str">
        <x:v>Compared as supporting or context evidence.</x:v>
      </x:c>
    </x:row>
    <x:row r="10">
      <x:c r="A10" s="48" t="str">
        <x:v>FII_INDEX_FUTURES_NET_POSITIVE</x:v>
      </x:c>
      <x:c r="B10" t="n">
        <x:v>13971</x:v>
      </x:c>
      <x:c r="C10" s="46" t="n">
        <x:v>0.12101795046580323</x:v>
      </x:c>
      <x:c r="D10" s="46" t="n">
        <x:v>0.11344928781046454</x:v>
      </x:c>
      <x:c r="E10" s="47" t="n">
        <x:v>0.9374583470782096</x:v>
      </x:c>
      <x:c r="F10" s="47" t="n">
        <x:v>-4.539549623628964</x:v>
      </x:c>
      <x:c r="G10" t="n">
        <x:v>3389</x:v>
      </x:c>
      <x:c r="H10" s="46" t="n">
        <x:v>0.09745559289486318</x:v>
      </x:c>
      <x:c r="I10" s="46" t="n">
        <x:v>0.11242254352316318</x:v>
      </x:c>
      <x:c r="J10" s="47" t="n">
        <x:v>1.1535771337869405</x:v>
      </x:c>
      <x:c r="K10" s="47" t="n">
        <x:v>4.342638542775256</x:v>
      </x:c>
      <x:c r="L10" t="n">
        <x:v>10582</x:v>
      </x:c>
      <x:c r="M10" s="46" t="n">
        <x:v>0.11377811377811378</x:v>
      </x:c>
      <x:c r="N10" s="47" t="n">
        <x:v>0.8727789487283159</x:v>
      </x:c>
      <x:c r="O10" t="n">
        <x:v>7</x:v>
      </x:c>
      <x:c r="P10" s="46" t="n">
        <x:v>0.5951933909125047</x:v>
      </x:c>
      <x:c r="Q10" t="n">
        <x:v>5</x:v>
      </x:c>
      <x:c r="R10" t="n">
        <x:v>16</x:v>
      </x:c>
      <x:c r="S10" t="str">
        <x:v>SUPPORTING</x:v>
      </x:c>
      <x:c r="T10" s="49" t="str">
        <x:v>Compared as supporting or context evidence.</x:v>
      </x:c>
    </x:row>
    <x:row r="11">
      <x:c r="A11" s="48" t="str">
        <x:v>MOMENTUM_QUALITY</x:v>
      </x:c>
      <x:c r="B11" t="n">
        <x:v>7467</x:v>
      </x:c>
      <x:c r="C11" s="46" t="n">
        <x:v>0.10420065905237227</x:v>
      </x:c>
      <x:c r="D11" s="46" t="n">
        <x:v>0.10620061604392661</x:v>
      </x:c>
      <x:c r="E11" s="47" t="n">
        <x:v>1.0191933238210051</x:v>
      </x:c>
      <x:c r="F11" s="47" t="n">
        <x:v>0.648379918077458</x:v>
      </x:c>
      <x:c r="G11" t="n">
        <x:v>3717</x:v>
      </x:c>
      <x:c r="H11" s="46" t="n">
        <x:v>0.08000995458221863</x:v>
      </x:c>
      <x:c r="I11" s="46" t="n">
        <x:v>0.08528383104654291</x:v>
      </x:c>
      <x:c r="J11" s="47" t="n">
        <x:v>1.0659152538188836</x:v>
      </x:c>
      <x:c r="K11" s="47" t="n">
        <x:v>1.3516746836241489</x:v>
      </x:c>
      <x:c r="L11" t="n">
        <x:v>3750</x:v>
      </x:c>
      <x:c r="M11" s="46" t="n">
        <x:v>0.12693333333333334</x:v>
      </x:c>
      <x:c r="N11" s="47" t="n">
        <x:v>0.9778567901234568</x:v>
      </x:c>
      <x:c r="O11" t="n">
        <x:v>7</x:v>
      </x:c>
      <x:c r="P11" s="46" t="n">
        <x:v>0.24347559103469452</x:v>
      </x:c>
      <x:c r="Q11" t="n">
        <x:v>8</x:v>
      </x:c>
      <x:c r="R11" t="n">
        <x:v>16</x:v>
      </x:c>
      <x:c r="S11" t="str">
        <x:v>SUPPORTING</x:v>
      </x:c>
      <x:c r="T11" s="49" t="str">
        <x:v>Compared as supporting or context evidence.</x:v>
      </x:c>
    </x:row>
    <x:row r="12">
      <x:c r="A12" s="48" t="str">
        <x:v>POSITIVE_VOLUME_WAKE_1_5X</x:v>
      </x:c>
      <x:c r="B12" t="n">
        <x:v>2194</x:v>
      </x:c>
      <x:c r="C12" s="46" t="n">
        <x:v>0.10420065905237227</x:v>
      </x:c>
      <x:c r="D12" s="46" t="n">
        <x:v>0.11440291704649043</x:v>
      </x:c>
      <x:c r="E12" s="47" t="n">
        <x:v>1.0979097261658433</x:v>
      </x:c>
      <x:c r="F12" s="47" t="n">
        <x:v>1.6220992989077838</x:v>
      </x:c>
      <x:c r="G12" t="n">
        <x:v>1097</x:v>
      </x:c>
      <x:c r="H12" s="46" t="n">
        <x:v>0.08000995458221863</x:v>
      </x:c>
      <x:c r="I12" s="46" t="n">
        <x:v>0.08477666362807658</x:v>
      </x:c>
      <x:c r="J12" s="47" t="n">
        <x:v>1.0595764498398716</x:v>
      </x:c>
      <x:c r="K12" s="47" t="n">
        <x:v>0.6028495462237958</x:v>
      </x:c>
      <x:c r="L12" t="n">
        <x:v>1097</x:v>
      </x:c>
      <x:c r="M12" s="46" t="n">
        <x:v>0.1440291704649043</x:v>
      </x:c>
      <x:c r="N12" s="47" t="n">
        <x:v>1.1095580539518552</x:v>
      </x:c>
      <x:c r="O12" t="n">
        <x:v>6</x:v>
      </x:c>
      <x:c r="P12" s="46" t="n">
        <x:v>0.07706478354313785</x:v>
      </x:c>
      <x:c r="Q12" t="n">
        <x:v>8</x:v>
      </x:c>
      <x:c r="R12" t="n">
        <x:v>16</x:v>
      </x:c>
      <x:c r="S12" t="str">
        <x:v>SUPPORTING</x:v>
      </x:c>
      <x:c r="T12" s="49" t="str">
        <x:v>Compared as supporting or context evidence.</x:v>
      </x:c>
    </x:row>
    <x:row r="13">
      <x:c r="A13" s="48" t="str">
        <x:v>RSI_45_TO_70</x:v>
      </x:c>
      <x:c r="B13" t="n">
        <x:v>15428</x:v>
      </x:c>
      <x:c r="C13" s="46" t="n">
        <x:v>0.10420065905237227</x:v>
      </x:c>
      <x:c r="D13" s="46" t="n">
        <x:v>0.10448535130930775</x:v>
      </x:c>
      <x:c r="E13" s="47" t="n">
        <x:v>1.002732154091198</x:v>
      </x:c>
      <x:c r="F13" s="47" t="n">
        <x:v>0.16264352380627228</x:v>
      </x:c>
      <x:c r="G13" t="n">
        <x:v>7707</x:v>
      </x:c>
      <x:c r="H13" s="46" t="n">
        <x:v>0.08000995458221863</x:v>
      </x:c>
      <x:c r="I13" s="46" t="n">
        <x:v>0.08200337355650707</x:v>
      </x:c>
      <x:c r="J13" s="47" t="n">
        <x:v>1.0249146369935755</x:v>
      </x:c>
      <x:c r="K13" s="47" t="n">
        <x:v>0.8940611700589288</x:v>
      </x:c>
      <x:c r="L13" t="n">
        <x:v>7721</x:v>
      </x:c>
      <x:c r="M13" s="46" t="n">
        <x:v>0.12692656391659113</x:v>
      </x:c>
      <x:c r="N13" s="47" t="n">
        <x:v>0.9778046405426278</x:v>
      </x:c>
      <x:c r="O13" t="n">
        <x:v>7</x:v>
      </x:c>
      <x:c r="P13" s="46" t="n">
        <x:v>0.4949339883328216</x:v>
      </x:c>
      <x:c r="Q13" t="n">
        <x:v>10</x:v>
      </x:c>
      <x:c r="R13" t="n">
        <x:v>16</x:v>
      </x:c>
      <x:c r="S13" t="str">
        <x:v>SUPPORTING</x:v>
      </x:c>
      <x:c r="T13" s="49" t="str">
        <x:v>Compared as supporting or context evidence.</x:v>
      </x:c>
    </x:row>
    <x:row r="14">
      <x:c r="A14" s="48" t="str">
        <x:v>FII_INDEX_FUTURES_IMPROVING_5D</x:v>
      </x:c>
      <x:c r="B14" t="n">
        <x:v>10537</x:v>
      </x:c>
      <x:c r="C14" s="46" t="n">
        <x:v>0.12101795046580323</x:v>
      </x:c>
      <x:c r="D14" s="46" t="n">
        <x:v>0.1190092056562589</x:v>
      </x:c>
      <x:c r="E14" s="47" t="n">
        <x:v>0.9834012656650308</x:v>
      </x:c>
      <x:c r="F14" s="47" t="n">
        <x:v>-0.8757601957037217</x:v>
      </x:c>
      <x:c r="G14" t="n">
        <x:v>3049</x:v>
      </x:c>
      <x:c r="H14" s="46" t="n">
        <x:v>0.09745559289486318</x:v>
      </x:c>
      <x:c r="I14" s="46" t="n">
        <x:v>0.0987208920957691</x:v>
      </x:c>
      <x:c r="J14" s="47" t="n">
        <x:v>1.0129833410615126</x:v>
      </x:c>
      <x:c r="K14" s="47" t="n">
        <x:v>0.3292035770268552</x:v>
      </x:c>
      <x:c r="L14" t="n">
        <x:v>7488</x:v>
      </x:c>
      <x:c r="M14" s="46" t="n">
        <x:v>0.12727029914529914</x:v>
      </x:c>
      <x:c r="N14" s="47" t="n">
        <x:v>0.9762759655955858</x:v>
      </x:c>
      <x:c r="O14" t="n">
        <x:v>7</x:v>
      </x:c>
      <x:c r="P14" s="46" t="n">
        <x:v>0.47089748404055576</x:v>
      </x:c>
      <x:c r="Q14" t="n">
        <x:v>8</x:v>
      </x:c>
      <x:c r="R14" t="n">
        <x:v>16</x:v>
      </x:c>
      <x:c r="S14" t="str">
        <x:v>SUPPORTING</x:v>
      </x:c>
      <x:c r="T14" s="49" t="str">
        <x:v>Compared as supporting or context evidence.</x:v>
      </x:c>
    </x:row>
    <x:row r="15">
      <x:c r="A15" s="48" t="str">
        <x:v>DELIVERY_PCT_GE_1_1X_20D</x:v>
      </x:c>
      <x:c r="B15" t="n">
        <x:v>8661</x:v>
      </x:c>
      <x:c r="C15" s="46" t="n">
        <x:v>0.10420065905237227</x:v>
      </x:c>
      <x:c r="D15" s="46" t="n">
        <x:v>0.10622329984990186</x:v>
      </x:c>
      <x:c r="E15" s="47" t="n">
        <x:v>1.0194110173191226</x:v>
      </x:c>
      <x:c r="F15" s="47" t="n">
        <x:v>0.7246362290959837</x:v>
      </x:c>
      <x:c r="G15" t="n">
        <x:v>4269</x:v>
      </x:c>
      <x:c r="H15" s="46" t="n">
        <x:v>0.08000995458221863</x:v>
      </x:c>
      <x:c r="I15" s="46" t="n">
        <x:v>0.08081517919887561</x:v>
      </x:c>
      <x:c r="J15" s="47" t="n">
        <x:v>1.0100640554148739</x:v>
      </x:c>
      <x:c r="K15" s="47" t="n">
        <x:v>0.226282212590132</x:v>
      </x:c>
      <x:c r="L15" t="n">
        <x:v>4392</x:v>
      </x:c>
      <x:c r="M15" s="46" t="n">
        <x:v>0.13091985428051</x:v>
      </x:c>
      <x:c r="N15" s="47" t="n">
        <x:v>1.008567766309114</x:v>
      </x:c>
      <x:c r="O15" t="n">
        <x:v>7</x:v>
      </x:c>
      <x:c r="P15" s="46" t="n">
        <x:v>0.2824685293214615</x:v>
      </x:c>
      <x:c r="Q15" t="n">
        <x:v>7</x:v>
      </x:c>
      <x:c r="R15" t="n">
        <x:v>16</x:v>
      </x:c>
      <x:c r="S15" t="str">
        <x:v>SUPPORTING</x:v>
      </x:c>
      <x:c r="T15" s="49" t="str">
        <x:v>Compared as supporting or context evidence.</x:v>
      </x:c>
    </x:row>
    <x:row r="16">
      <x:c r="A16" s="48" t="str">
        <x:v>POSITIVE_20D_RELATIVE_STRENGTH</x:v>
      </x:c>
      <x:c r="B16" t="n">
        <x:v>14428</x:v>
      </x:c>
      <x:c r="C16" s="46" t="n">
        <x:v>0.10420065905237227</x:v>
      </x:c>
      <x:c r="D16" s="46" t="n">
        <x:v>0.10153867479900194</x:v>
      </x:c>
      <x:c r="E16" s="47" t="n">
        <x:v>0.9744532877471304</x:v>
      </x:c>
      <x:c r="F16" s="47" t="n">
        <x:v>-1.4263051092252899</x:v>
      </x:c>
      <x:c r="G16" t="n">
        <x:v>7420</x:v>
      </x:c>
      <x:c r="H16" s="46" t="n">
        <x:v>0.08000995458221863</x:v>
      </x:c>
      <x:c r="I16" s="46" t="n">
        <x:v>0.07897574123989218</x:v>
      </x:c>
      <x:c r="J16" s="47" t="n">
        <x:v>0.9870739416398032</x:v>
      </x:c>
      <x:c r="K16" s="47" t="n">
        <x:v>-0.4475212204321932</x:v>
      </x:c>
      <x:c r="L16" t="n">
        <x:v>7008</x:v>
      </x:c>
      <x:c r="M16" s="46" t="n">
        <x:v>0.1254280821917808</x:v>
      </x:c>
      <x:c r="N16" s="47" t="n">
        <x:v>0.9662607813292743</x:v>
      </x:c>
      <x:c r="O16" t="n">
        <x:v>7</x:v>
      </x:c>
      <x:c r="P16" s="46" t="n">
        <x:v>0.4498004298434142</x:v>
      </x:c>
      <x:c r="Q16" t="n">
        <x:v>7</x:v>
      </x:c>
      <x:c r="R16" t="n">
        <x:v>16</x:v>
      </x:c>
      <x:c r="S16" t="str">
        <x:v>CONTEXT / NO EDGE</x:v>
      </x:c>
      <x:c r="T16" s="49" t="str">
        <x:v>Compared as supporting or context evidence.</x:v>
      </x:c>
    </x:row>
    <x:row r="17">
      <x:c r="A17" s="48" t="str">
        <x:v>CONFIRMED_TREND_PRESSURE</x:v>
      </x:c>
      <x:c r="B17" t="n">
        <x:v>4496</x:v>
      </x:c>
      <x:c r="C17" s="46" t="n">
        <x:v>0.10420065905237227</x:v>
      </x:c>
      <x:c r="D17" s="46" t="n">
        <x:v>0.09519572953736655</x:v>
      </x:c>
      <x:c r="E17" s="47" t="n">
        <x:v>0.9135808775405176</x:v>
      </x:c>
      <x:c r="F17" s="47" t="n">
        <x:v>-2.135872598905953</x:v>
      </x:c>
      <x:c r="G17" t="n">
        <x:v>2245</x:v>
      </x:c>
      <x:c r="H17" s="46" t="n">
        <x:v>0.08000995458221863</x:v>
      </x:c>
      <x:c r="I17" s="46" t="n">
        <x:v>0.0779510022271715</x:v>
      </x:c>
      <x:c r="J17" s="47" t="n">
        <x:v>0.9742662976651069</x:v>
      </x:c>
      <x:c r="K17" s="47" t="n">
        <x:v>-0.38766775617130245</x:v>
      </x:c>
      <x:c r="L17" t="n">
        <x:v>2251</x:v>
      </x:c>
      <x:c r="M17" s="46" t="n">
        <x:v>0.11239449133718347</x:v>
      </x:c>
      <x:c r="N17" s="47" t="n">
        <x:v>0.8658538591901541</x:v>
      </x:c>
      <x:c r="O17" t="n">
        <x:v>7</x:v>
      </x:c>
      <x:c r="P17" s="46" t="n">
        <x:v>0.13140927233650598</x:v>
      </x:c>
      <x:c r="Q17" t="n">
        <x:v>6</x:v>
      </x:c>
      <x:c r="R17" t="n">
        <x:v>16</x:v>
      </x:c>
      <x:c r="S17" t="str">
        <x:v>CONTEXT / NO EDGE</x:v>
      </x:c>
      <x:c r="T17" s="49" t="str">
        <x:v>Compared as supporting or context evidence.</x:v>
      </x:c>
    </x:row>
    <x:row r="18">
      <x:c r="A18" s="48" t="str">
        <x:v>OBV_UP_10D</x:v>
      </x:c>
      <x:c r="B18" t="n">
        <x:v>17337</x:v>
      </x:c>
      <x:c r="C18" s="46" t="n">
        <x:v>0.10420065905237227</x:v>
      </x:c>
      <x:c r="D18" s="46" t="n">
        <x:v>0.10047874488089058</x:v>
      </x:c>
      <x:c r="E18" s="47" t="n">
        <x:v>0.9642812799330662</x:v>
      </x:c>
      <x:c r="F18" s="47" t="n">
        <x:v>-2.403625235918715</x:v>
      </x:c>
      <x:c r="G18" t="n">
        <x:v>8788</x:v>
      </x:c>
      <x:c r="H18" s="46" t="n">
        <x:v>0.08000995458221863</x:v>
      </x:c>
      <x:c r="I18" s="46" t="n">
        <x:v>0.07760582612653619</x:v>
      </x:c>
      <x:c r="J18" s="47" t="n">
        <x:v>0.9699521332284728</x:v>
      </x:c>
      <x:c r="K18" s="47" t="n">
        <x:v>-1.2338796774528549</x:v>
      </x:c>
      <x:c r="L18" t="n">
        <x:v>8549</x:v>
      </x:c>
      <x:c r="M18" s="46" t="n">
        <x:v>0.12399111007135337</x:v>
      </x:c>
      <x:c r="N18" s="47" t="n">
        <x:v>0.9551907738830184</x:v>
      </x:c>
      <x:c r="O18" t="n">
        <x:v>7</x:v>
      </x:c>
      <x:c r="P18" s="46" t="n">
        <x:v>0.5348480196499846</x:v>
      </x:c>
      <x:c r="Q18" t="n">
        <x:v>4</x:v>
      </x:c>
      <x:c r="R18" t="n">
        <x:v>16</x:v>
      </x:c>
      <x:c r="S18" t="str">
        <x:v>CONTEXT / NO EDGE</x:v>
      </x:c>
      <x:c r="T18" s="49" t="str">
        <x:v>Compared as supporting or context evidence.</x:v>
      </x:c>
    </x:row>
    <x:row r="19">
      <x:c r="A19" s="48" t="str">
        <x:v>CONFIRMED_TREND_PRESSURE_WITH_VIX</x:v>
      </x:c>
      <x:c r="B19" t="n">
        <x:v>2149</x:v>
      </x:c>
      <x:c r="C19" s="46" t="n">
        <x:v>0.1188461930486189</x:v>
      </x:c>
      <x:c r="D19" s="46" t="n">
        <x:v>0.08748255002326663</x:v>
      </x:c>
      <x:c r="E19" s="47" t="n">
        <x:v>0.7360988836005736</x:v>
      </x:c>
      <x:c r="F19" s="47" t="n">
        <x:v>-4.761174608610287</x:v>
      </x:c>
      <x:c r="G19" t="n">
        <x:v>1192</x:v>
      </x:c>
      <x:c r="H19" s="46" t="n">
        <x:v>0.08881315156375301</x:v>
      </x:c>
      <x:c r="I19" s="46" t="n">
        <x:v>0.08221476510067115</x:v>
      </x:c>
      <x:c r="J19" s="47" t="n">
        <x:v>0.9257048494856607</x:v>
      </x:c>
      <x:c r="K19" s="47" t="n">
        <x:v>-0.8534254122309263</x:v>
      </x:c>
      <x:c r="L19" t="n">
        <x:v>957</x:v>
      </x:c>
      <x:c r="M19" s="46" t="n">
        <x:v>0.09404388714733543</x:v>
      </x:c>
      <x:c r="N19" s="47" t="n">
        <x:v>0.6273494712470247</x:v>
      </x:c>
      <x:c r="O19" t="n">
        <x:v>7</x:v>
      </x:c>
      <x:c r="P19" s="46" t="n">
        <x:v>0.08061749571183534</x:v>
      </x:c>
      <x:c r="Q19" t="n">
        <x:v>3</x:v>
      </x:c>
      <x:c r="R19" t="n">
        <x:v>16</x:v>
      </x:c>
      <x:c r="S19" t="str">
        <x:v>CONTEXT / NO EDGE</x:v>
      </x:c>
      <x:c r="T19" s="49" t="str">
        <x:v>Compared as supporting or context evidence.</x:v>
      </x:c>
    </x:row>
    <x:row r="20">
      <x:c r="A20" s="48" t="str">
        <x:v>TREND_PLUS_ACCUMULATION</x:v>
      </x:c>
      <x:c r="B20" t="n">
        <x:v>6271</x:v>
      </x:c>
      <x:c r="C20" s="46" t="n">
        <x:v>0.10420065905237227</x:v>
      </x:c>
      <x:c r="D20" s="46" t="n">
        <x:v>0.09344602136820283</x:v>
      </x:c>
      <x:c r="E20" s="47" t="n">
        <x:v>0.8967891587061455</x:v>
      </x:c>
      <x:c r="F20" s="47" t="n">
        <x:v>-3.1178043643731885</x:v>
      </x:c>
      <x:c r="G20" t="n">
        <x:v>3067</x:v>
      </x:c>
      <x:c r="H20" s="46" t="n">
        <x:v>0.08000995458221863</x:v>
      </x:c>
      <x:c r="I20" s="46" t="n">
        <x:v>0.07368764264753831</x:v>
      </x:c>
      <x:c r="J20" s="47" t="n">
        <x:v>0.920980933338945</x:v>
      </x:c>
      <x:c r="K20" s="47" t="n">
        <x:v>-1.434649558587278</x:v>
      </x:c>
      <x:c r="L20" t="n">
        <x:v>3204</x:v>
      </x:c>
      <x:c r="M20" s="46" t="n">
        <x:v>0.11235955056179775</x:v>
      </x:c>
      <x:c r="N20" s="47" t="n">
        <x:v>0.8655846858094048</x:v>
      </x:c>
      <x:c r="O20" t="n">
        <x:v>7</x:v>
      </x:c>
      <x:c r="P20" s="46" t="n">
        <x:v>0.17992017193736567</x:v>
      </x:c>
      <x:c r="Q20" t="n">
        <x:v>4</x:v>
      </x:c>
      <x:c r="R20" t="n">
        <x:v>16</x:v>
      </x:c>
      <x:c r="S20" t="str">
        <x:v>CONTEXT / NO EDGE</x:v>
      </x:c>
      <x:c r="T20" s="49" t="str">
        <x:v>Compared as supporting or context evidence.</x:v>
      </x:c>
    </x:row>
    <x:row r="21">
      <x:c r="A21" s="48" t="str">
        <x:v>CLOSE_LOCATION_5D_GE_55PCT</x:v>
      </x:c>
      <x:c r="B21" t="n">
        <x:v>9649</x:v>
      </x:c>
      <x:c r="C21" s="46" t="n">
        <x:v>0.10420065905237227</x:v>
      </x:c>
      <x:c r="D21" s="46" t="n">
        <x:v>0.0904756969634159</x:v>
      </x:c>
      <x:c r="E21" s="47" t="n">
        <x:v>0.8682833466335556</x:v>
      </x:c>
      <x:c r="F21" s="47" t="n">
        <x:v>-5.307354113707021</x:v>
      </x:c>
      <x:c r="G21" t="n">
        <x:v>5154</x:v>
      </x:c>
      <x:c r="H21" s="46" t="n">
        <x:v>0.08000995458221863</x:v>
      </x:c>
      <x:c r="I21" s="46" t="n">
        <x:v>0.07295304617772604</x:v>
      </x:c>
      <x:c r="J21" s="47" t="n">
        <x:v>0.911799619918033</x:v>
      </x:c>
      <x:c r="K21" s="47" t="n">
        <x:v>-2.265583906184373</x:v>
      </x:c>
      <x:c r="L21" t="n">
        <x:v>4495</x:v>
      </x:c>
      <x:c r="M21" s="46" t="n">
        <x:v>0.11056729699666296</x:v>
      </x:c>
      <x:c r="N21" s="47" t="n">
        <x:v>0.8517776953816998</x:v>
      </x:c>
      <x:c r="O21" t="n">
        <x:v>7</x:v>
      </x:c>
      <x:c r="P21" s="46" t="n">
        <x:v>0.26803807184525635</x:v>
      </x:c>
      <x:c r="Q21" t="n">
        <x:v>4</x:v>
      </x:c>
      <x:c r="R21" t="n">
        <x:v>16</x:v>
      </x:c>
      <x:c r="S21" t="str">
        <x:v>CONTEXT / NO EDGE</x:v>
      </x:c>
      <x:c r="T21" s="49" t="str">
        <x:v>Compared as supporting or context evidence.</x:v>
      </x:c>
    </x:row>
    <x:row r="22">
      <x:c r="A22" s="48" t="str">
        <x:v>WITHIN_5PCT_OF_PRIOR_20D_HIGH</x:v>
      </x:c>
      <x:c r="B22" t="n">
        <x:v>18748</x:v>
      </x:c>
      <x:c r="C22" s="46" t="n">
        <x:v>0.10420065905237227</x:v>
      </x:c>
      <x:c r="D22" s="46" t="n">
        <x:v>0.08598250480051206</x:v>
      </x:c>
      <x:c r="E22" s="47" t="n">
        <x:v>0.8251627732728294</x:v>
      </x:c>
      <x:c r="F22" s="47" t="n">
        <x:v>-12.906354663192657</x:v>
      </x:c>
      <x:c r="G22" t="n">
        <x:v>10087</x:v>
      </x:c>
      <x:c r="H22" s="46" t="n">
        <x:v>0.08000995458221863</x:v>
      </x:c>
      <x:c r="I22" s="46" t="n">
        <x:v>0.07118072766927729</x:v>
      </x:c>
      <x:c r="J22" s="47" t="n">
        <x:v>0.8896483948898085</x:v>
      </x:c>
      <x:c r="K22" s="47" t="n">
        <x:v>-5.355749166895038</x:v>
      </x:c>
      <x:c r="L22" t="n">
        <x:v>8661</x:v>
      </x:c>
      <x:c r="M22" s="46" t="n">
        <x:v>0.1032213370280568</x:v>
      </x:c>
      <x:c r="N22" s="47" t="n">
        <x:v>0.7951865963642893</x:v>
      </x:c>
      <x:c r="O22" t="n">
        <x:v>7</x:v>
      </x:c>
      <x:c r="P22" s="46" t="n">
        <x:v>0.4949339883328216</x:v>
      </x:c>
      <x:c r="Q22" t="n">
        <x:v>1</x:v>
      </x:c>
      <x:c r="R22" t="n">
        <x:v>16</x:v>
      </x:c>
      <x:c r="S22" t="str">
        <x:v>CONTEXT / NO EDGE</x:v>
      </x:c>
      <x:c r="T22" s="49" t="str">
        <x:v>Compared as supporting or context evidence.</x:v>
      </x:c>
    </x:row>
    <x:row r="23">
      <x:c r="A23" s="48" t="str">
        <x:v>INDIA_VIX_FALLING_5D</x:v>
      </x:c>
      <x:c r="B23" t="n">
        <x:v>10154</x:v>
      </x:c>
      <x:c r="C23" s="46" t="n">
        <x:v>0.11845310596833131</x:v>
      </x:c>
      <x:c r="D23" s="46" t="n">
        <x:v>0.11424069332282845</x:v>
      </x:c>
      <x:c r="E23" s="47" t="n">
        <x:v>0.9644381410595594</x:v>
      </x:c>
      <x:c r="F23" s="47" t="n">
        <x:v>-1.8868138902137845</x:v>
      </x:c>
      <x:c r="G23" t="n">
        <x:v>5331</x:v>
      </x:c>
      <x:c r="H23" s="46" t="n">
        <x:v>0.08861009582139683</x:v>
      </x:c>
      <x:c r="I23" s="46" t="n">
        <x:v>0.0780341399362221</x:v>
      </x:c>
      <x:c r="J23" s="47" t="n">
        <x:v>0.8806461522568297</x:v>
      </x:c>
      <x:c r="K23" s="47" t="n">
        <x:v>-3.9493577498637644</x:v>
      </x:c>
      <x:c r="L23" t="n">
        <x:v>4823</x:v>
      </x:c>
      <x:c r="M23" s="46" t="n">
        <x:v>0.15426083350611652</x:v>
      </x:c>
      <x:c r="N23" s="47" t="n">
        <x:v>1.0285129059304818</x:v>
      </x:c>
      <x:c r="O23" t="n">
        <x:v>7</x:v>
      </x:c>
      <x:c r="P23" s="46" t="n">
        <x:v>0.49700085689802914</x:v>
      </x:c>
      <x:c r="Q23" t="n">
        <x:v>5</x:v>
      </x:c>
      <x:c r="R23" t="n">
        <x:v>16</x:v>
      </x:c>
      <x:c r="S23" t="str">
        <x:v>CONTEXT / NO EDGE</x:v>
      </x:c>
      <x:c r="T23" s="49" t="str">
        <x:v>Compared as supporting or context evidence.</x:v>
      </x:c>
    </x:row>
    <x:row r="24">
      <x:c r="A24" s="48" t="str">
        <x:v>VOLUME_DRYUP_5D_VS_20D</x:v>
      </x:c>
      <x:c r="B24" t="n">
        <x:v>7811</x:v>
      </x:c>
      <x:c r="C24" s="46" t="n">
        <x:v>0.10420065905237227</x:v>
      </x:c>
      <x:c r="D24" s="46" t="n">
        <x:v>0.08859300985789272</x:v>
      </x:c>
      <x:c r="E24" s="47" t="n">
        <x:v>0.8502154464624355</x:v>
      </x:c>
      <x:c r="F24" s="47" t="n">
        <x:v>-5.21302104067917</x:v>
      </x:c>
      <x:c r="G24" t="n">
        <x:v>3993</x:v>
      </x:c>
      <x:c r="H24" s="46" t="n">
        <x:v>0.08000995458221863</x:v>
      </x:c>
      <x:c r="I24" s="46" t="n">
        <x:v>0.07012271475081393</x:v>
      </x:c>
      <x:c r="J24" s="47" t="n">
        <x:v>0.8764248788412381</x:v>
      </x:c>
      <x:c r="K24" s="47" t="n">
        <x:v>-2.6562940722037456</x:v>
      </x:c>
      <x:c r="L24" t="n">
        <x:v>3818</x:v>
      </x:c>
      <x:c r="M24" s="46" t="n">
        <x:v>0.10790990047145102</x:v>
      </x:c>
      <x:c r="N24" s="47" t="n">
        <x:v>0.8313058999282152</x:v>
      </x:c>
      <x:c r="O24" t="n">
        <x:v>7</x:v>
      </x:c>
      <x:c r="P24" s="46" t="n">
        <x:v>0.21246545901136016</x:v>
      </x:c>
      <x:c r="Q24" t="n">
        <x:v>3</x:v>
      </x:c>
      <x:c r="R24" t="n">
        <x:v>16</x:v>
      </x:c>
      <x:c r="S24" t="str">
        <x:v>CONTEXT / NO EDGE</x:v>
      </x:c>
      <x:c r="T24" s="49" t="str">
        <x:v>Compared as supporting or context evidence.</x:v>
      </x:c>
    </x:row>
    <x:row r="25">
      <x:c r="A25" s="48" t="str">
        <x:v>BREAKOUT_20D_WITH_1_2X_VOLUME</x:v>
      </x:c>
      <x:c r="B25" t="n">
        <x:v>1283</x:v>
      </x:c>
      <x:c r="C25" s="46" t="n">
        <x:v>0.10420065905237227</x:v>
      </x:c>
      <x:c r="D25" s="46" t="n">
        <x:v>0.10210444271239283</x:v>
      </x:c>
      <x:c r="E25" s="47" t="n">
        <x:v>0.9798828878910846</x:v>
      </x:c>
      <x:c r="F25" s="47" t="n">
        <x:v>-0.2509632459371423</x:v>
      </x:c>
      <x:c r="G25" t="n">
        <x:v>660</x:v>
      </x:c>
      <x:c r="H25" s="46" t="n">
        <x:v>0.08000995458221863</x:v>
      </x:c>
      <x:c r="I25" s="46" t="n">
        <x:v>0.0696969696969697</x:v>
      </x:c>
      <x:c r="J25" s="47" t="n">
        <x:v>0.8711037277911307</x:v>
      </x:c>
      <x:c r="K25" s="47" t="n">
        <x:v>-0.9972353297133738</x:v>
      </x:c>
      <x:c r="L25" t="n">
        <x:v>623</x:v>
      </x:c>
      <x:c r="M25" s="46" t="n">
        <x:v>0.13643659711075443</x:v>
      </x:c>
      <x:c r="N25" s="47" t="n">
        <x:v>1.0510671184828488</x:v>
      </x:c>
      <x:c r="O25" t="n">
        <x:v>7</x:v>
      </x:c>
      <x:c r="P25" s="46" t="n">
        <x:v>0.040221062327295054</x:v>
      </x:c>
      <x:c r="Q25" t="n">
        <x:v>6</x:v>
      </x:c>
      <x:c r="R25" t="n">
        <x:v>16</x:v>
      </x:c>
      <x:c r="S25" t="str">
        <x:v>CONTEXT / NO EDGE</x:v>
      </x:c>
      <x:c r="T25" s="49" t="str">
        <x:v>Compared as supporting or context evidence.</x:v>
      </x:c>
    </x:row>
    <x:row r="26">
      <x:c r="A26" s="48" t="str">
        <x:v>TREND_CLOSE_GT_MA20_GT_MA50</x:v>
      </x:c>
      <x:c r="B26" t="n">
        <x:v>11910</x:v>
      </x:c>
      <x:c r="C26" s="46" t="n">
        <x:v>0.10420065905237227</x:v>
      </x:c>
      <x:c r="D26" s="46" t="n">
        <x:v>0.08782535684298909</x:v>
      </x:c>
      <x:c r="E26" s="47" t="n">
        <x:v>0.8428483815908228</x:v>
      </x:c>
      <x:c r="F26" s="47" t="n">
        <x:v>-7.43483667886402</x:v>
      </x:c>
      <x:c r="G26" t="n">
        <x:v>5967</x:v>
      </x:c>
      <x:c r="H26" s="46" t="n">
        <x:v>0.08000995458221863</x:v>
      </x:c>
      <x:c r="I26" s="46" t="n">
        <x:v>0.06586224233283057</x:v>
      </x:c>
      <x:c r="J26" s="47" t="n">
        <x:v>0.8231755995455565</x:v>
      </x:c>
      <x:c r="K26" s="47" t="n">
        <x:v>-5.079950569606135</x:v>
      </x:c>
      <x:c r="L26" t="n">
        <x:v>5943</x:v>
      </x:c>
      <x:c r="M26" s="46" t="n">
        <x:v>0.10987716641426888</x:v>
      </x:c>
      <x:c r="N26" s="47" t="n">
        <x:v>0.8464611338580713</x:v>
      </x:c>
      <x:c r="O26" t="n">
        <x:v>7</x:v>
      </x:c>
      <x:c r="P26" s="46" t="n">
        <x:v>0.3211544365980964</x:v>
      </x:c>
      <x:c r="Q26" t="n">
        <x:v>4</x:v>
      </x:c>
      <x:c r="R26" t="n">
        <x:v>16</x:v>
      </x:c>
      <x:c r="S26" t="str">
        <x:v>CONTEXT / NO EDGE</x:v>
      </x:c>
      <x:c r="T26" s="49" t="str">
        <x:v>Compared as supporting or context evidence.</x:v>
      </x:c>
    </x:row>
    <x:row r="27">
      <x:c r="A27" s="48" t="str">
        <x:v>BB_WIDTH_BOTTOM_20PCT_TRAILING</x:v>
      </x:c>
      <x:c r="B27" t="n">
        <x:v>6583</x:v>
      </x:c>
      <x:c r="C27" s="46" t="n">
        <x:v>0.10373760488176964</x:v>
      </x:c>
      <x:c r="D27" s="46" t="n">
        <x:v>0.08886525900045572</x:v>
      </x:c>
      <x:c r="E27" s="47" t="n">
        <x:v>0.8566349599235107</x:v>
      </x:c>
      <x:c r="F27" s="47" t="n">
        <x:v>-4.476011374222163</x:v>
      </x:c>
      <x:c r="G27" t="n">
        <x:v>3786</x:v>
      </x:c>
      <x:c r="H27" s="46" t="n">
        <x:v>0.07834362788352452</x:v>
      </x:c>
      <x:c r="I27" s="46" t="n">
        <x:v>0.06391970417326995</x:v>
      </x:c>
      <x:c r="J27" s="47" t="n">
        <x:v>0.8158889995278367</x:v>
      </x:c>
      <x:c r="K27" s="47" t="n">
        <x:v>-3.785189484884051</x:v>
      </x:c>
      <x:c r="L27" t="n">
        <x:v>2797</x:v>
      </x:c>
      <x:c r="M27" s="46" t="n">
        <x:v>0.12263139077583125</x:v>
      </x:c>
      <x:c r="N27" s="47" t="n">
        <x:v>0.929461368707852</x:v>
      </x:c>
      <x:c r="O27" t="n">
        <x:v>7</x:v>
      </x:c>
      <x:c r="P27" s="46" t="n">
        <x:v>0.18702046035805628</x:v>
      </x:c>
      <x:c r="Q27" t="n">
        <x:v>4</x:v>
      </x:c>
      <x:c r="R27" t="n">
        <x:v>16</x:v>
      </x:c>
      <x:c r="S27" t="str">
        <x:v>CONTEXT / NO EDGE</x:v>
      </x:c>
      <x:c r="T27" s="49" t="str">
        <x:v>Compared as supporting or context evidence.</x:v>
      </x:c>
    </x:row>
    <x:row r="28">
      <x:c r="A28" s="48" t="str">
        <x:v>ATR_BOTTOM_20PCT_TRAILING</x:v>
      </x:c>
      <x:c r="B28" t="n">
        <x:v>7588</x:v>
      </x:c>
      <x:c r="C28" s="46" t="n">
        <x:v>0.1039703791860888</x:v>
      </x:c>
      <x:c r="D28" s="46" t="n">
        <x:v>0.08157617290458619</x:v>
      </x:c>
      <x:c r="E28" s="47" t="n">
        <x:v>0.7846097469605174</x:v>
      </x:c>
      <x:c r="F28" s="47" t="n">
        <x:v>-7.384129655204639</x:v>
      </x:c>
      <x:c r="G28" t="n">
        <x:v>4741</x:v>
      </x:c>
      <x:c r="H28" s="46" t="n">
        <x:v>0.07831780407957693</x:v>
      </x:c>
      <x:c r="I28" s="46" t="n">
        <x:v>0.06285593756591436</x:v>
      </x:c>
      <x:c r="J28" s="47" t="n">
        <x:v>0.8025753314284435</x:v>
      </x:c>
      <x:c r="K28" s="47" t="n">
        <x:v>-4.7310214926974785</x:v>
      </x:c>
      <x:c r="L28" t="n">
        <x:v>2847</x:v>
      </x:c>
      <x:c r="M28" s="46" t="n">
        <x:v>0.11275026343519494</x:v>
      </x:c>
      <x:c r="N28" s="47" t="n">
        <x:v>0.8520029112291295</x:v>
      </x:c>
      <x:c r="O28" t="n">
        <x:v>7</x:v>
      </x:c>
      <x:c r="P28" s="46" t="n">
        <x:v>0.19682034976152624</x:v>
      </x:c>
      <x:c r="Q28" t="n">
        <x:v>3</x:v>
      </x:c>
      <x:c r="R28" t="n">
        <x:v>16</x:v>
      </x:c>
      <x:c r="S28" t="str">
        <x:v>CONTEXT / NO EDGE</x:v>
      </x:c>
      <x:c r="T28" s="49" t="str">
        <x:v>Compared as supporting or context evidence.</x:v>
      </x:c>
    </x:row>
    <x:row r="29">
      <x:c r="A29" s="48" t="str">
        <x:v>FII_CASH_5D_GE_DII</x:v>
      </x:c>
      <x:c r="B29" t="n">
        <x:v>8715</x:v>
      </x:c>
      <x:c r="C29" s="46" t="n">
        <x:v>0.1175383803281573</x:v>
      </x:c>
      <x:c r="D29" s="46" t="n">
        <x:v>0.10992541594951233</x:v>
      </x:c>
      <x:c r="E29" s="47" t="n">
        <x:v>0.9352299703518951</x:v>
      </x:c>
      <x:c r="F29" s="47" t="n">
        <x:v>-2.810186076422841</x:v>
      </x:c>
      <x:c r="G29" t="n">
        <x:v>2241</x:v>
      </x:c>
      <x:c r="H29" s="46" t="n">
        <x:v>0.09130928713433684</x:v>
      </x:c>
      <x:c r="I29" s="46" t="n">
        <x:v>0.07318161535029005</x:v>
      </x:c>
      <x:c r="J29" s="47" t="n">
        <x:v>0.8014695727787597</x:v>
      </x:c>
      <x:c r="K29" s="47" t="n">
        <x:v>-3.608108544663458</x:v>
      </x:c>
      <x:c r="L29" t="n">
        <x:v>6474</x:v>
      </x:c>
      <x:c r="M29" s="46" t="n">
        <x:v>0.12264442384924312</x:v>
      </x:c>
      <x:c r="N29" s="47" t="n">
        <x:v>0.9484542408173848</x:v>
      </x:c>
      <x:c r="O29" t="n">
        <x:v>7</x:v>
      </x:c>
      <x:c r="P29" s="46" t="n">
        <x:v>0.35853293413173654</x:v>
      </x:c>
      <x:c r="Q29" t="n">
        <x:v>4</x:v>
      </x:c>
      <x:c r="R29" t="n">
        <x:v>16</x:v>
      </x:c>
      <x:c r="S29" t="str">
        <x:v>CONTEXT / NO EDGE</x:v>
      </x:c>
      <x:c r="T29" s="49" t="str">
        <x:v>Compared as supporting or context evidence.</x:v>
      </x:c>
    </x:row>
    <x:row r="30">
      <x:c r="A30" s="48" t="str">
        <x:v>BASE_WIDTH_10D_LE_8PCT</x:v>
      </x:c>
      <x:c r="B30" t="n">
        <x:v>18828</x:v>
      </x:c>
      <x:c r="C30" s="46" t="n">
        <x:v>0.10420065905237227</x:v>
      </x:c>
      <x:c r="D30" s="46" t="n">
        <x:v>0.07589759932016146</x:v>
      </x:c>
      <x:c r="E30" s="47" t="n">
        <x:v>0.7283792637243742</x:v>
      </x:c>
      <x:c r="F30" s="47" t="n">
        <x:v>-20.15813887755683</x:v>
      </x:c>
      <x:c r="G30" t="n">
        <x:v>10751</x:v>
      </x:c>
      <x:c r="H30" s="46" t="n">
        <x:v>0.08000995458221863</x:v>
      </x:c>
      <x:c r="I30" s="46" t="n">
        <x:v>0.06380801785880383</x:v>
      </x:c>
      <x:c r="J30" s="47" t="n">
        <x:v>0.7975009883705707</x:v>
      </x:c>
      <x:c r="K30" s="47" t="n">
        <x:v>-10.760657880560613</x:v>
      </x:c>
      <x:c r="L30" t="n">
        <x:v>8077</x:v>
      </x:c>
      <x:c r="M30" s="46" t="n">
        <x:v>0.09198960009904668</x:v>
      </x:c>
      <x:c r="N30" s="47" t="n">
        <x:v>0.7086606229852485</x:v>
      </x:c>
      <x:c r="O30" t="n">
        <x:v>7</x:v>
      </x:c>
      <x:c r="P30" s="46" t="n">
        <x:v>0.43874731347866136</x:v>
      </x:c>
      <x:c r="Q30" t="n">
        <x:v>1</x:v>
      </x:c>
      <x:c r="R30" t="n">
        <x:v>16</x:v>
      </x:c>
      <x:c r="S30" t="str">
        <x:v>CONTEXT / NO EDGE</x:v>
      </x:c>
      <x:c r="T30" s="49" t="str">
        <x:v>Compared as supporting or context evidence.</x:v>
      </x:c>
    </x:row>
    <x:row r="31">
      <x:c r="A31" s="48" t="str">
        <x:v>INDIA_VIX_BELOW_20</x:v>
      </x:c>
      <x:c r="B31" t="n">
        <x:v>15353</x:v>
      </x:c>
      <x:c r="C31" s="46" t="n">
        <x:v>0.11851889321665234</x:v>
      </x:c>
      <x:c r="D31" s="46" t="n">
        <x:v>0.0875398944831629</x:v>
      </x:c>
      <x:c r="E31" s="47" t="n">
        <x:v>0.7386155245572545</x:v>
      </x:c>
      <x:c r="F31" s="47" t="n">
        <x:v>-25.127051070862485</x:v>
      </x:c>
      <x:c r="G31" t="n">
        <x:v>8450</x:v>
      </x:c>
      <x:c r="H31" s="46" t="n">
        <x:v>0.08861009582139683</x:v>
      </x:c>
      <x:c r="I31" s="46" t="n">
        <x:v>0.07005917159763314</x:v>
      </x:c>
      <x:c r="J31" s="47" t="n">
        <x:v>0.7906454783532221</x:v>
      </x:c>
      <x:c r="K31" s="47" t="n">
        <x:v>-14.760696275634759</x:v>
      </x:c>
      <x:c r="L31" t="n">
        <x:v>6903</x:v>
      </x:c>
      <x:c r="M31" s="46" t="n">
        <x:v>0.10893814283644793</x:v>
      </x:c>
      <x:c r="N31" s="47" t="n">
        <x:v>0.7267063110652675</x:v>
      </x:c>
      <x:c r="O31" t="n">
        <x:v>7</x:v>
      </x:c>
      <x:c r="P31" s="46" t="n">
        <x:v>0.5736235595390525</x:v>
      </x:c>
      <x:c r="Q31" t="n">
        <x:v>0</x:v>
      </x:c>
      <x:c r="R31" t="n">
        <x:v>16</x:v>
      </x:c>
      <x:c r="S31" t="str">
        <x:v>CONTEXT / NO EDGE</x:v>
      </x:c>
      <x:c r="T31" s="49" t="str">
        <x:v>Compared as supporting or context evidence.</x:v>
      </x:c>
    </x:row>
    <x:row r="32">
      <x:c r="A32" s="48" t="str">
        <x:v>QUIET_ACCUMULATION</x:v>
      </x:c>
      <x:c r="B32" t="n">
        <x:v>2714</x:v>
      </x:c>
      <x:c r="C32" s="46" t="n">
        <x:v>0.10420065905237227</x:v>
      </x:c>
      <x:c r="D32" s="46" t="n">
        <x:v>0.06521739130434782</x:v>
      </x:c>
      <x:c r="E32" s="47" t="n">
        <x:v>0.6258827141541295</x:v>
      </x:c>
      <x:c r="F32" s="47" t="n">
        <x:v>-6.956109307631424</x:v>
      </x:c>
      <x:c r="G32" t="n">
        <x:v>1551</x:v>
      </x:c>
      <x:c r="H32" s="46" t="n">
        <x:v>0.08000995458221863</x:v>
      </x:c>
      <x:c r="I32" s="46" t="n">
        <x:v>0.061895551257253385</x:v>
      </x:c>
      <x:c r="J32" s="47" t="n">
        <x:v>0.7735981301382844</x:v>
      </x:c>
      <x:c r="K32" s="47" t="n">
        <x:v>-2.766314876656488</x:v>
      </x:c>
      <x:c r="L32" t="n">
        <x:v>1163</x:v>
      </x:c>
      <x:c r="M32" s="46" t="n">
        <x:v>0.06964746345657781</x:v>
      </x:c>
      <x:c r="N32" s="47" t="n">
        <x:v>0.5365434221840067</x:v>
      </x:c>
      <x:c r="O32" t="n">
        <x:v>7</x:v>
      </x:c>
      <x:c r="P32" s="46" t="n">
        <x:v>0.05434448879336813</x:v>
      </x:c>
      <x:c r="Q32" t="n">
        <x:v>1</x:v>
      </x:c>
      <x:c r="R32" t="n">
        <x:v>16</x:v>
      </x:c>
      <x:c r="S32" t="str">
        <x:v>CONTEXT / NO EDGE</x:v>
      </x:c>
      <x:c r="T32" s="49" t="str">
        <x:v>Compared as supporting or context evidence.</x:v>
      </x:c>
    </x:row>
    <x:row r="33">
      <x:c r="A33" s="48" t="str">
        <x:v>PRE_RISE_PRESSURE_CLUSTER</x:v>
      </x:c>
      <x:c r="B33" t="n">
        <x:v>4312</x:v>
      </x:c>
      <x:c r="C33" s="46" t="n">
        <x:v>0.10420065905237227</x:v>
      </x:c>
      <x:c r="D33" s="46" t="n">
        <x:v>0.07769016697588126</x:v>
      </x:c>
      <x:c r="E33" s="47" t="n">
        <x:v>0.7455822994059319</x:v>
      </x:c>
      <x:c r="F33" s="47" t="n">
        <x:v>-6.136929232657468</x:v>
      </x:c>
      <x:c r="G33" t="n">
        <x:v>2253</x:v>
      </x:c>
      <x:c r="H33" s="46" t="n">
        <x:v>0.08000995458221863</x:v>
      </x:c>
      <x:c r="I33" s="46" t="n">
        <x:v>0.06080781180648025</x:v>
      </x:c>
      <x:c r="J33" s="47" t="n">
        <x:v>0.7600030786668406</x:v>
      </x:c>
      <x:c r="K33" s="47" t="n">
        <x:v>-3.6229401961326917</x:v>
      </x:c>
      <x:c r="L33" t="n">
        <x:v>2059</x:v>
      </x:c>
      <x:c r="M33" s="46" t="n">
        <x:v>0.0961631860126275</x:v>
      </x:c>
      <x:c r="N33" s="47" t="n">
        <x:v>0.7408126922454266</x:v>
      </x:c>
      <x:c r="O33" t="n">
        <x:v>7</x:v>
      </x:c>
      <x:c r="P33" s="46" t="n">
        <x:v>0.10285538839422782</x:v>
      </x:c>
      <x:c r="Q33" t="n">
        <x:v>1</x:v>
      </x:c>
      <x:c r="R33" t="n">
        <x:v>16</x:v>
      </x:c>
      <x:c r="S33" t="str">
        <x:v>CONTEXT / NO EDGE</x:v>
      </x:c>
      <x:c r="T33" s="49" t="str">
        <x:v>Compared as supporting or context evidence.</x:v>
      </x:c>
    </x:row>
    <x:row r="34">
      <x:c r="A34" s="48" t="str">
        <x:v>COMPRESSION_RELEASE</x:v>
      </x:c>
      <x:c r="B34" t="n">
        <x:v>822</x:v>
      </x:c>
      <x:c r="C34" s="46" t="n">
        <x:v>0.10420065905237227</x:v>
      </x:c>
      <x:c r="D34" s="46" t="n">
        <x:v>0.07907542579075426</x:v>
      </x:c>
      <x:c r="E34" s="47" t="n">
        <x:v>0.7588764457910978</x:v>
      </x:c>
      <x:c r="F34" s="47" t="n">
        <x:v>-2.389419492721674</x:v>
      </x:c>
      <x:c r="G34" t="n">
        <x:v>461</x:v>
      </x:c>
      <x:c r="H34" s="46" t="n">
        <x:v>0.08000995458221863</x:v>
      </x:c>
      <x:c r="I34" s="46" t="n">
        <x:v>0.052060737527114966</x:v>
      </x:c>
      <x:c r="J34" s="47" t="n">
        <x:v>0.6506782537117565</x:v>
      </x:c>
      <x:c r="K34" s="47" t="n">
        <x:v>-2.2442732558210077</x:v>
      </x:c>
      <x:c r="L34" t="n">
        <x:v>361</x:v>
      </x:c>
      <x:c r="M34" s="46" t="n">
        <x:v>0.11357340720221606</x:v>
      </x:c>
      <x:c r="N34" s="47" t="n">
        <x:v>0.8749358777059607</x:v>
      </x:c>
      <x:c r="O34" t="n">
        <x:v>7</x:v>
      </x:c>
      <x:c r="P34" s="46" t="n">
        <x:v>0.019957015658581517</x:v>
      </x:c>
      <x:c r="Q34" t="n">
        <x:v>3</x:v>
      </x:c>
      <x:c r="R34" t="n">
        <x:v>16</x:v>
      </x:c>
      <x:c r="S34" t="str">
        <x:v>CONTEXT / NO EDGE</x:v>
      </x:c>
      <x:c r="T34" s="49" t="str">
        <x:v>Compared as supporting or context evidence.</x:v>
      </x:c>
    </x:row>
    <x:row r="35">
      <x:c r="A35" s="48" t="str">
        <x:v>TREND_PLUS_COMPRESSION</x:v>
      </x:c>
      <x:c r="B35" t="n">
        <x:v>7524</x:v>
      </x:c>
      <x:c r="C35" s="46" t="n">
        <x:v>0.10420065905237227</x:v>
      </x:c>
      <x:c r="D35" s="46" t="n">
        <x:v>0.0676501860712387</x:v>
      </x:c>
      <x:c r="E35" s="47" t="n">
        <x:v>0.6492299250932477</x:v>
      </x:c>
      <x:c r="F35" s="47" t="n">
        <x:v>-11.90896775373129</x:v>
      </x:c>
      <x:c r="G35" t="n">
        <x:v>4080</x:v>
      </x:c>
      <x:c r="H35" s="46" t="n">
        <x:v>0.08000995458221863</x:v>
      </x:c>
      <x:c r="I35" s="46" t="n">
        <x:v>0.05</x:v>
      </x:c>
      <x:c r="J35" s="47" t="n">
        <x:v>0.6249222395023328</x:v>
      </x:c>
      <x:c r="K35" s="47" t="n">
        <x:v>-8.179304928177242</x:v>
      </x:c>
      <x:c r="L35" t="n">
        <x:v>3444</x:v>
      </x:c>
      <x:c r="M35" s="46" t="n">
        <x:v>0.08855981416957026</x:v>
      </x:c>
      <x:c r="N35" s="47" t="n">
        <x:v>0.6822385684174301</x:v>
      </x:c>
      <x:c r="O35" t="n">
        <x:v>7</x:v>
      </x:c>
      <x:c r="P35" s="46" t="n">
        <x:v>0.15627878415719987</x:v>
      </x:c>
      <x:c r="Q35" t="n">
        <x:v>0</x:v>
      </x:c>
      <x:c r="R35" t="n">
        <x:v>16</x:v>
      </x:c>
      <x:c r="S35" t="str">
        <x:v>CONTEXT / NO EDGE</x:v>
      </x:c>
      <x:c r="T35" s="49" t="str">
        <x:v>Compared as supporting or context evidence.</x:v>
      </x:c>
    </x:row>
    <x:row r="36">
      <x:c r="A36" s="48" t="str">
        <x:v>FII_AGGREGATE_5D_POSITIVE</x:v>
      </x:c>
      <x:c r="B36" t="n">
        <x:v>4082</x:v>
      </x:c>
      <x:c r="C36" s="46" t="n">
        <x:v>0.1235835221970404</x:v>
      </x:c>
      <x:c r="D36" s="46" t="n">
        <x:v>0.1271435570798628</x:v>
      </x:c>
      <x:c r="E36" s="47" t="n">
        <x:v>1.0288067116030752</x:v>
      </x:c>
      <x:c r="F36" s="47" t="n">
        <x:v>1.0236823949278464</x:v>
      </x:c>
      <x:c r="G36" t="n">
        <x:v>0</x:v>
      </x:c>
      <x:c r="H36" s="46"/>
      <x:c r="I36" s="46"/>
      <x:c r="J36" s="47"/>
      <x:c r="K36" s="47"/>
      <x:c r="L36" t="n">
        <x:v>4082</x:v>
      </x:c>
      <x:c r="M36" s="46" t="n">
        <x:v>0.1271435570798628</x:v>
      </x:c>
      <x:c r="N36" s="47" t="n">
        <x:v>1.0288067116030752</x:v>
      </x:c>
      <x:c r="O36" t="n">
        <x:v>7</x:v>
      </x:c>
      <x:c r="P36" s="46" t="n">
        <x:v>0.5598705501618123</x:v>
      </x:c>
      <x:c r="Q36" t="n">
        <x:v>9</x:v>
      </x:c>
      <x:c r="R36" t="n">
        <x:v>13</x:v>
      </x:c>
      <x:c r="S36" t="str">
        <x:v>CONTEXT / NO EDGE</x:v>
      </x:c>
      <x:c r="T36" s="49" t="str">
        <x:v>Compared as supporting or context evidence.</x:v>
      </x:c>
    </x:row>
    <x:row r="37">
      <x:c r="A37" s="48" t="str">
        <x:v>STOCK_FII_NET_5D_POSITIVE</x:v>
      </x:c>
      <x:c r="B37" t="n">
        <x:v>2759</x:v>
      </x:c>
      <x:c r="C37" s="46" t="n">
        <x:v>0.11480804387568556</x:v>
      </x:c>
      <x:c r="D37" s="46" t="n">
        <x:v>0.1130844508880029</x:v>
      </x:c>
      <x:c r="E37" s="47" t="n">
        <x:v>0.9849871757283054</x:v>
      </x:c>
      <x:c r="F37" s="47" t="n">
        <x:v>-0.40339878428251486</x:v>
      </x:c>
      <x:c r="G37" t="n">
        <x:v>0</x:v>
      </x:c>
      <x:c r="H37" s="46"/>
      <x:c r="I37" s="46"/>
      <x:c r="J37" s="47"/>
      <x:c r="K37" s="47"/>
      <x:c r="L37" t="n">
        <x:v>2759</x:v>
      </x:c>
      <x:c r="M37" s="46" t="n">
        <x:v>0.1130844508880029</x:v>
      </x:c>
      <x:c r="N37" s="47" t="n">
        <x:v>0.9849871757283054</x:v>
      </x:c>
      <x:c r="O37" t="n">
        <x:v>7</x:v>
      </x:c>
      <x:c r="P37" s="46" t="n">
        <x:v>0.4968152866242038</x:v>
      </x:c>
      <x:c r="Q37" t="n">
        <x:v>5</x:v>
      </x:c>
      <x:c r="R37" t="n">
        <x:v>11</x:v>
      </x:c>
      <x:c r="S37" t="str">
        <x:v>CONTEXT / NO EDGE</x:v>
      </x:c>
      <x:c r="T37" s="49" t="str">
        <x:v>Compared as supporting or context evidence.</x:v>
      </x:c>
    </x:row>
  </x:sheetData>
  <x:mergeCells>
    <x:mergeCell ref="A1:T2"/>
    <x:mergeCell ref="A3:T3"/>
  </x:mergeCells>
  <x:conditionalFormatting sqref="J6:J3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6:S37">
    <x:cfRule type="containsText" dxfId="0" priority="2" operator="containsText" text="ACTIVE"/>
  </x:conditionalFormatting>
  <x:pageMargins left="0.7" right="0.7" top="0.75" bottom="0.75" header="0.3" footer="0.3"/>
  <x:tableParts count="1">
    <x:tablePart xmlns:r="http://schemas.openxmlformats.org/officeDocument/2006/relationships" r:id="Rda96dc5e567640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0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4" hidden="0" customWidth="1"/>
    <x:col min="11" max="11" width="10" hidden="0" customWidth="1"/>
    <x:col min="12" max="12" width="3" hidden="0" customWidth="1"/>
    <x:col min="13" max="13" width="18" hidden="0" customWidth="1"/>
    <x:col min="14" max="14" width="13" hidden="0" customWidth="1"/>
    <x:col min="15" max="15" width="13" hidden="0" customWidth="1"/>
  </x:cols>
  <x:sheetData>
    <x:row r="1">
      <x:c r="A1" s="15" t="str">
        <x:v>Compression → Positive-Volume Ignition Stability</x:v>
      </x:c>
      <x:c r="B1" s="16" t="str">
        <x:v>Compression → Positive-Volume Ignition Stability</x:v>
      </x:c>
      <x:c r="C1" s="16" t="str">
        <x:v>Compression → Positive-Volume Ignition Stability</x:v>
      </x:c>
      <x:c r="D1" s="16" t="str">
        <x:v>Compression → Positive-Volume Ignition Stability</x:v>
      </x:c>
      <x:c r="E1" s="16" t="str">
        <x:v>Compression → Positive-Volume Ignition Stability</x:v>
      </x:c>
      <x:c r="F1" s="16" t="str">
        <x:v>Compression → Positive-Volume Ignition Stability</x:v>
      </x:c>
      <x:c r="G1" s="16" t="str">
        <x:v>Compression → Positive-Volume Ignition Stability</x:v>
      </x:c>
      <x:c r="H1" s="16" t="str">
        <x:v>Compression → Positive-Volume Ignition Stability</x:v>
      </x:c>
      <x:c r="I1" s="16" t="str">
        <x:v>Compression → Positive-Volume Ignition Stability</x:v>
      </x:c>
      <x:c r="J1" s="16" t="str">
        <x:v>Compression → Positive-Volume Ignition Stability</x:v>
      </x:c>
      <x:c r="K1" s="16" t="str">
        <x:v>Compression → Positive-Volume Ignition Stability</x:v>
      </x:c>
      <x:c r="L1" s="16" t="str">
        <x:v>Compression → Positive-Volume Ignition Stability</x:v>
      </x:c>
      <x:c r="M1" s="16" t="str">
        <x:v>Compression → Positive-Volume Ignition Stability</x:v>
      </x:c>
      <x:c r="N1" s="17" t="str">
        <x:v>Compression → Positive-Volume Ignition Stability</x:v>
      </x:c>
    </x:row>
    <x:row r="2">
      <x:c r="A2" s="18" t="str">
        <x:v>Compression → Positive-Volume Ignition Stability</x:v>
      </x:c>
      <x:c r="B2" s="19" t="str">
        <x:v>Compression → Positive-Volume Ignition Stability</x:v>
      </x:c>
      <x:c r="C2" s="19" t="str">
        <x:v>Compression → Positive-Volume Ignition Stability</x:v>
      </x:c>
      <x:c r="D2" s="19" t="str">
        <x:v>Compression → Positive-Volume Ignition Stability</x:v>
      </x:c>
      <x:c r="E2" s="19" t="str">
        <x:v>Compression → Positive-Volume Ignition Stability</x:v>
      </x:c>
      <x:c r="F2" s="19" t="str">
        <x:v>Compression → Positive-Volume Ignition Stability</x:v>
      </x:c>
      <x:c r="G2" s="19" t="str">
        <x:v>Compression → Positive-Volume Ignition Stability</x:v>
      </x:c>
      <x:c r="H2" s="19" t="str">
        <x:v>Compression → Positive-Volume Ignition Stability</x:v>
      </x:c>
      <x:c r="I2" s="19" t="str">
        <x:v>Compression → Positive-Volume Ignition Stability</x:v>
      </x:c>
      <x:c r="J2" s="19" t="str">
        <x:v>Compression → Positive-Volume Ignition Stability</x:v>
      </x:c>
      <x:c r="K2" s="19" t="str">
        <x:v>Compression → Positive-Volume Ignition Stability</x:v>
      </x:c>
      <x:c r="L2" s="19" t="str">
        <x:v>Compression → Positive-Volume Ignition Stability</x:v>
      </x:c>
      <x:c r="M2" s="19" t="str">
        <x:v>Compression → Positive-Volume Ignition Stability</x:v>
      </x:c>
      <x:c r="N2" s="20" t="str">
        <x:v>Compression → Positive-Volume Ignition Stability</x:v>
      </x:c>
    </x:row>
    <x:row r="3">
      <x:c r="A3" s="29" t="str">
        <x:v>The selected 1.5x-volume watch and strong thresholds produced lift above 1.0 in every tested time block.</x:v>
      </x:c>
      <x:c r="B3" s="30" t="str">
        <x:v>The selected 1.5x-volume watch and strong thresholds produced lift above 1.0 in every tested time block.</x:v>
      </x:c>
      <x:c r="C3" s="30" t="str">
        <x:v>The selected 1.5x-volume watch and strong thresholds produced lift above 1.0 in every tested time block.</x:v>
      </x:c>
      <x:c r="D3" s="30" t="str">
        <x:v>The selected 1.5x-volume watch and strong thresholds produced lift above 1.0 in every tested time block.</x:v>
      </x:c>
      <x:c r="E3" s="30" t="str">
        <x:v>The selected 1.5x-volume watch and strong thresholds produced lift above 1.0 in every tested time block.</x:v>
      </x:c>
      <x:c r="F3" s="30" t="str">
        <x:v>The selected 1.5x-volume watch and strong thresholds produced lift above 1.0 in every tested time block.</x:v>
      </x:c>
      <x:c r="G3" s="30" t="str">
        <x:v>The selected 1.5x-volume watch and strong thresholds produced lift above 1.0 in every tested time block.</x:v>
      </x:c>
      <x:c r="H3" s="30" t="str">
        <x:v>The selected 1.5x-volume watch and strong thresholds produced lift above 1.0 in every tested time block.</x:v>
      </x:c>
      <x:c r="I3" s="30" t="str">
        <x:v>The selected 1.5x-volume watch and strong thresholds produced lift above 1.0 in every tested time block.</x:v>
      </x:c>
      <x:c r="J3" s="30" t="str">
        <x:v>The selected 1.5x-volume watch and strong thresholds produced lift above 1.0 in every tested time block.</x:v>
      </x:c>
      <x:c r="K3" s="30" t="str">
        <x:v>The selected 1.5x-volume watch and strong thresholds produced lift above 1.0 in every tested time block.</x:v>
      </x:c>
      <x:c r="L3" s="30" t="str">
        <x:v>The selected 1.5x-volume watch and strong thresholds produced lift above 1.0 in every tested time block.</x:v>
      </x:c>
      <x:c r="M3" s="30" t="str">
        <x:v>The selected 1.5x-volume watch and strong thresholds produced lift above 1.0 in every tested time block.</x:v>
      </x:c>
      <x:c r="N3" s="31" t="str">
        <x:v>The selected 1.5x-volume watch and strong thresholds produced lift above 1.0 in every tested time block.</x:v>
      </x:c>
    </x:row>
    <x:row r="5">
      <x:c r="A5" s="43" t="str">
        <x:v>Level</x:v>
      </x:c>
      <x:c r="B5" s="44" t="str">
        <x:v>Inside Bars / 10</x:v>
      </x:c>
      <x:c r="C5" s="44" t="str">
        <x:v>Volume Multiple</x:v>
      </x:c>
      <x:c r="D5" s="44" t="str">
        <x:v>Period</x:v>
      </x:c>
      <x:c r="E5" s="44" t="str">
        <x:v>Fires</x:v>
      </x:c>
      <x:c r="F5" s="44" t="str">
        <x:v>Base Rate</x:v>
      </x:c>
      <x:c r="G5" s="44" t="str">
        <x:v>Precision</x:v>
      </x:c>
      <x:c r="H5" s="44" t="str">
        <x:v>Lift</x:v>
      </x:c>
      <x:c r="I5" s="44" t="str">
        <x:v>Z Score</x:v>
      </x:c>
      <x:c r="J5" s="44" t="str">
        <x:v>Median Lead Days</x:v>
      </x:c>
      <x:c r="K5" s="45" t="str">
        <x:v>Lift &gt; 1</x:v>
      </x:c>
      <x:c r="M5" s="43" t="str">
        <x:v>Time Block</x:v>
      </x:c>
      <x:c r="N5" s="44" t="str">
        <x:v>WATCH Lift</x:v>
      </x:c>
      <x:c r="O5" s="45" t="str">
        <x:v>STRONG Lift</x:v>
      </x:c>
    </x:row>
    <x:row r="6">
      <x:c r="A6" t="str">
        <x:v>WATCH</x:v>
      </x:c>
      <x:c r="B6" t="n">
        <x:v>2</x:v>
      </x:c>
      <x:c r="C6" s="50" t="n">
        <x:v>1.5</x:v>
      </x:c>
      <x:c r="D6" t="str">
        <x:v>TRAIN_2016_2020</x:v>
      </x:c>
      <x:c r="E6" t="n">
        <x:v>458</x:v>
      </x:c>
      <x:c r="F6" s="46" t="n">
        <x:v>0.12980769230769232</x:v>
      </x:c>
      <x:c r="G6" s="46" t="n">
        <x:v>0.1615720524017467</x:v>
      </x:c>
      <x:c r="H6" s="47" t="n">
        <x:v>1.244703218502345</x:v>
      </x:c>
      <x:c r="I6" s="47" t="n">
        <x:v>2.0538357761409927</x:v>
      </x:c>
      <x:c r="J6" t="n">
        <x:v>7</x:v>
      </x:c>
      <x:c r="K6" t="str">
        <x:f>IF(H6&gt;1,"YES","NO")</x:f>
        <x:v>YES</x:v>
      </x:c>
      <x:c r="M6" t="str">
        <x:v>2016-2018</x:v>
      </x:c>
      <x:c r="N6" s="50" t="n">
        <x:v>1.4993667336119703</x:v>
      </x:c>
      <x:c r="O6" s="50" t="n">
        <x:v>1.6794966043548272</x:v>
      </x:c>
    </x:row>
    <x:row r="7">
      <x:c r="A7" t="str">
        <x:v>WATCH</x:v>
      </x:c>
      <x:c r="B7" t="n">
        <x:v>2</x:v>
      </x:c>
      <x:c r="C7" s="50" t="n">
        <x:v>1.5</x:v>
      </x:c>
      <x:c r="D7" t="str">
        <x:v>TEST_2021_2026</x:v>
      </x:c>
      <x:c r="E7" t="n">
        <x:v>383</x:v>
      </x:c>
      <x:c r="F7" s="46" t="n">
        <x:v>0.08000995458221863</x:v>
      </x:c>
      <x:c r="G7" s="46" t="n">
        <x:v>0.10966057441253264</x:v>
      </x:c>
      <x:c r="H7" s="47" t="n">
        <x:v>1.3705866349398423</x:v>
      </x:c>
      <x:c r="I7" s="47" t="n">
        <x:v>2.164744216430577</x:v>
      </x:c>
      <x:c r="J7" t="n">
        <x:v>6.5</x:v>
      </x:c>
      <x:c r="K7" t="str">
        <x:f>IF(H7&gt;1,"YES","NO")</x:f>
        <x:v>YES</x:v>
      </x:c>
      <x:c r="M7" t="str">
        <x:v>2019-2021</x:v>
      </x:c>
      <x:c r="N7" s="50" t="n">
        <x:v>1.176769668701557</x:v>
      </x:c>
      <x:c r="O7" s="50" t="n">
        <x:v>1.1527539611770354</x:v>
      </x:c>
    </x:row>
    <x:row r="8">
      <x:c r="A8" t="str">
        <x:v>WATCH</x:v>
      </x:c>
      <x:c r="B8" t="n">
        <x:v>2</x:v>
      </x:c>
      <x:c r="C8" s="50" t="n">
        <x:v>1.5</x:v>
      </x:c>
      <x:c r="D8" t="str">
        <x:v>BLOCK_2016_2018</x:v>
      </x:c>
      <x:c r="E8" t="n">
        <x:v>267</x:v>
      </x:c>
      <x:c r="F8" s="46" t="n">
        <x:v>0.0949214719706523</x:v>
      </x:c>
      <x:c r="G8" s="46" t="n">
        <x:v>0.14232209737827714</x:v>
      </x:c>
      <x:c r="H8" s="47" t="n">
        <x:v>1.4993667336119703</x:v>
      </x:c>
      <x:c r="I8" s="47" t="n">
        <x:v>2.683890471720351</x:v>
      </x:c>
      <x:c r="J8" t="n">
        <x:v>6</x:v>
      </x:c>
      <x:c r="K8" t="str">
        <x:f>IF(H8&gt;1,"YES","NO")</x:f>
        <x:v>YES</x:v>
      </x:c>
      <x:c r="M8" t="str">
        <x:v>2022-2024</x:v>
      </x:c>
      <x:c r="N8" s="50" t="n">
        <x:v>1.235525321239607</x:v>
      </x:c>
      <x:c r="O8" s="50" t="n">
        <x:v>1.7946859903381642</x:v>
      </x:c>
    </x:row>
    <x:row r="9">
      <x:c r="A9" t="str">
        <x:v>WATCH</x:v>
      </x:c>
      <x:c r="B9" t="n">
        <x:v>2</x:v>
      </x:c>
      <x:c r="C9" s="50" t="n">
        <x:v>1.5</x:v>
      </x:c>
      <x:c r="D9" t="str">
        <x:v>BLOCK_2019_2021</x:v>
      </x:c>
      <x:c r="E9" t="n">
        <x:v>244</x:v>
      </x:c>
      <x:c r="F9" s="46" t="n">
        <x:v>0.17065333809353803</x:v>
      </x:c>
      <x:c r="G9" s="46" t="n">
        <x:v>0.20081967213114754</x:v>
      </x:c>
      <x:c r="H9" s="47" t="n">
        <x:v>1.176769668701557</x:v>
      </x:c>
      <x:c r="I9" s="47" t="n">
        <x:v>1.2711321984185184</x:v>
      </x:c>
      <x:c r="J9" t="n">
        <x:v>7</x:v>
      </x:c>
      <x:c r="K9" t="str">
        <x:f>IF(H9&gt;1,"YES","NO")</x:f>
        <x:v>YES</x:v>
      </x:c>
      <x:c r="M9" t="str">
        <x:v>2025-2026</x:v>
      </x:c>
      <x:c r="N9" s="50" t="n">
        <x:v>1.2569363581610118</x:v>
      </x:c>
      <x:c r="O9" s="50" t="n">
        <x:v>2.7750542972385976</x:v>
      </x:c>
    </x:row>
    <x:row r="10">
      <x:c r="A10" t="str">
        <x:v>WATCH</x:v>
      </x:c>
      <x:c r="B10" t="n">
        <x:v>2</x:v>
      </x:c>
      <x:c r="C10" s="50" t="n">
        <x:v>1.5</x:v>
      </x:c>
      <x:c r="D10" t="str">
        <x:v>BLOCK_2022_2024</x:v>
      </x:c>
      <x:c r="E10" t="n">
        <x:v>245</x:v>
      </x:c>
      <x:c r="F10" s="46" t="n">
        <x:v>0.07267833109017496</x:v>
      </x:c>
      <x:c r="G10" s="46" t="n">
        <x:v>0.08979591836734693</x:v>
      </x:c>
      <x:c r="H10" s="47" t="n">
        <x:v>1.235525321239607</x:v>
      </x:c>
      <x:c r="I10" s="47" t="n">
        <x:v>1.0454106064122073</x:v>
      </x:c>
      <x:c r="J10" t="n">
        <x:v>7</x:v>
      </x:c>
      <x:c r="K10" t="str">
        <x:f>IF(H10&gt;1,"YES","NO")</x:f>
        <x:v>YES</x:v>
      </x:c>
    </x:row>
    <x:row r="11">
      <x:c r="A11" t="str">
        <x:v>WATCH</x:v>
      </x:c>
      <x:c r="B11" t="n">
        <x:v>2</x:v>
      </x:c>
      <x:c r="C11" s="50" t="n">
        <x:v>1.5</x:v>
      </x:c>
      <x:c r="D11" t="str">
        <x:v>BLOCK_2025_2026</x:v>
      </x:c>
      <x:c r="E11" t="n">
        <x:v>85</x:v>
      </x:c>
      <x:c r="F11" s="46" t="n">
        <x:v>0.06551878354203935</x:v>
      </x:c>
      <x:c r="G11" s="46" t="n">
        <x:v>0.08235294117647059</x:v>
      </x:c>
      <x:c r="H11" s="47" t="n">
        <x:v>1.2569363581610118</x:v>
      </x:c>
      <x:c r="I11" s="47" t="n">
        <x:v>0.6332857733640344</x:v>
      </x:c>
      <x:c r="J11" t="n">
        <x:v>6</x:v>
      </x:c>
      <x:c r="K11" t="str">
        <x:f>IF(H11&gt;1,"YES","NO")</x:f>
        <x:v>YES</x:v>
      </x:c>
    </x:row>
    <x:row r="12">
      <x:c r="A12" t="str">
        <x:v>STRONG</x:v>
      </x:c>
      <x:c r="B12" t="n">
        <x:v>3</x:v>
      </x:c>
      <x:c r="C12" s="50" t="n">
        <x:v>1.5</x:v>
      </x:c>
      <x:c r="D12" t="str">
        <x:v>TRAIN_2016_2020</x:v>
      </x:c>
      <x:c r="E12" t="n">
        <x:v>112</x:v>
      </x:c>
      <x:c r="F12" s="46" t="n">
        <x:v>0.12980769230769232</x:v>
      </x:c>
      <x:c r="G12" s="46" t="n">
        <x:v>0.16964285714285715</x:v>
      </x:c>
      <x:c r="H12" s="47" t="n">
        <x:v>1.3068783068783068</x:v>
      </x:c>
      <x:c r="I12" s="47" t="n">
        <x:v>1.2589991885220704</x:v>
      </x:c>
      <x:c r="J12" t="n">
        <x:v>6</x:v>
      </x:c>
      <x:c r="K12" t="str">
        <x:f>IF(H12&gt;1,"YES","NO")</x:f>
        <x:v>YES</x:v>
      </x:c>
    </x:row>
    <x:row r="13">
      <x:c r="A13" t="str">
        <x:v>STRONG</x:v>
      </x:c>
      <x:c r="B13" t="n">
        <x:v>3</x:v>
      </x:c>
      <x:c r="C13" s="50" t="n">
        <x:v>1.5</x:v>
      </x:c>
      <x:c r="D13" t="str">
        <x:v>TEST_2021_2026</x:v>
      </x:c>
      <x:c r="E13" t="n">
        <x:v>109</x:v>
      </x:c>
      <x:c r="F13" s="46" t="n">
        <x:v>0.08000995458221863</x:v>
      </x:c>
      <x:c r="G13" s="46" t="n">
        <x:v>0.1559633027522936</x:v>
      </x:c>
      <x:c r="H13" s="47" t="n">
        <x:v>1.9492987287228731</x:v>
      </x:c>
      <x:c r="I13" s="47" t="n">
        <x:v>2.9327443643001216</x:v>
      </x:c>
      <x:c r="J13" t="n">
        <x:v>8</x:v>
      </x:c>
      <x:c r="K13" t="str">
        <x:f>IF(H13&gt;1,"YES","NO")</x:f>
        <x:v>YES</x:v>
      </x:c>
    </x:row>
    <x:row r="14">
      <x:c r="A14" t="str">
        <x:v>STRONG</x:v>
      </x:c>
      <x:c r="B14" t="n">
        <x:v>3</x:v>
      </x:c>
      <x:c r="C14" s="50" t="n">
        <x:v>1.5</x:v>
      </x:c>
      <x:c r="D14" t="str">
        <x:v>BLOCK_2016_2018</x:v>
      </x:c>
      <x:c r="E14" t="n">
        <x:v>69</x:v>
      </x:c>
      <x:c r="F14" s="46" t="n">
        <x:v>0.0949214719706523</x:v>
      </x:c>
      <x:c r="G14" s="46" t="n">
        <x:v>0.15942028985507245</x:v>
      </x:c>
      <x:c r="H14" s="47" t="n">
        <x:v>1.6794966043548272</x:v>
      </x:c>
      <x:c r="I14" s="47" t="n">
        <x:v>1.8351663113664187</x:v>
      </x:c>
      <x:c r="J14" t="n">
        <x:v>6</x:v>
      </x:c>
      <x:c r="K14" t="str">
        <x:f>IF(H14&gt;1,"YES","NO")</x:f>
        <x:v>YES</x:v>
      </x:c>
    </x:row>
    <x:row r="15">
      <x:c r="A15" t="str">
        <x:v>STRONG</x:v>
      </x:c>
      <x:c r="B15" t="n">
        <x:v>3</x:v>
      </x:c>
      <x:c r="C15" s="50" t="n">
        <x:v>1.5</x:v>
      </x:c>
      <x:c r="D15" t="str">
        <x:v>BLOCK_2019_2021</x:v>
      </x:c>
      <x:c r="E15" t="n">
        <x:v>61</x:v>
      </x:c>
      <x:c r="F15" s="46" t="n">
        <x:v>0.17065333809353803</x:v>
      </x:c>
      <x:c r="G15" s="46" t="n">
        <x:v>0.19672131147540983</x:v>
      </x:c>
      <x:c r="H15" s="47" t="n">
        <x:v>1.1527539611770354</x:v>
      </x:c>
      <x:c r="I15" s="47" t="n">
        <x:v>0.5431613149033793</x:v>
      </x:c>
      <x:c r="J15" t="n">
        <x:v>6.5</x:v>
      </x:c>
      <x:c r="K15" t="str">
        <x:f>IF(H15&gt;1,"YES","NO")</x:f>
        <x:v>YES</x:v>
      </x:c>
    </x:row>
    <x:row r="16">
      <x:c r="A16" t="str">
        <x:v>STRONG</x:v>
      </x:c>
      <x:c r="B16" t="n">
        <x:v>3</x:v>
      </x:c>
      <x:c r="C16" s="50" t="n">
        <x:v>1.5</x:v>
      </x:c>
      <x:c r="D16" t="str">
        <x:v>BLOCK_2022_2024</x:v>
      </x:c>
      <x:c r="E16" t="n">
        <x:v>69</x:v>
      </x:c>
      <x:c r="F16" s="46" t="n">
        <x:v>0.07267833109017496</x:v>
      </x:c>
      <x:c r="G16" s="46" t="n">
        <x:v>0.13043478260869565</x:v>
      </x:c>
      <x:c r="H16" s="47" t="n">
        <x:v>1.7946859903381642</x:v>
      </x:c>
      <x:c r="I16" s="47" t="n">
        <x:v>1.8546593384699357</x:v>
      </x:c>
      <x:c r="J16" t="n">
        <x:v>8</x:v>
      </x:c>
      <x:c r="K16" t="str">
        <x:f>IF(H16&gt;1,"YES","NO")</x:f>
        <x:v>YES</x:v>
      </x:c>
    </x:row>
    <x:row r="17">
      <x:c r="A17" t="str">
        <x:v>STRONG</x:v>
      </x:c>
      <x:c r="B17" t="n">
        <x:v>3</x:v>
      </x:c>
      <x:c r="C17" s="50" t="n">
        <x:v>1.5</x:v>
      </x:c>
      <x:c r="D17" t="str">
        <x:v>BLOCK_2025_2026</x:v>
      </x:c>
      <x:c r="E17" t="n">
        <x:v>22</x:v>
      </x:c>
      <x:c r="F17" s="46" t="n">
        <x:v>0.06551878354203935</x:v>
      </x:c>
      <x:c r="G17" s="46" t="n">
        <x:v>0.18181818181818182</x:v>
      </x:c>
      <x:c r="H17" s="47" t="n">
        <x:v>2.7750542972385976</x:v>
      </x:c>
      <x:c r="I17" s="47" t="n">
        <x:v>2.209996058964632</x:v>
      </x:c>
      <x:c r="J17" t="n">
        <x:v>7</x:v>
      </x:c>
      <x:c r="K17" t="str">
        <x:f>IF(H17&gt;1,"YES","NO")</x:f>
        <x:v>YES</x:v>
      </x:c>
    </x:row>
  </x:sheetData>
  <x:mergeCells>
    <x:mergeCell ref="A1:N2"/>
    <x:mergeCell ref="A3:N3"/>
  </x:mergeCells>
  <x:conditionalFormatting sqref="K6:K17">
    <x:cfRule type="containsText" dxfId="1" priority="1" operator="containsText" text="YES"/>
  </x:conditionalFormatting>
  <x:pageMargins left="0.7" right="0.7" top="0.75" bottom="0.75" header="0.3" footer="0.3"/>
  <x:drawing xmlns:r="http://schemas.openxmlformats.org/officeDocument/2006/relationships" r:id="R02afe113584d41de"/>
  <x:tableParts count="1">
    <x:tablePart xmlns:r="http://schemas.openxmlformats.org/officeDocument/2006/relationships" r:id="R593def35095741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20" hidden="0" customWidth="1"/>
  </x:cols>
  <x:sheetData>
    <x:row r="1">
      <x:c r="A1" s="15" t="str">
        <x:v>Cross-Stock Consistency</x:v>
      </x:c>
      <x:c r="B1" s="16" t="str">
        <x:v>Cross-Stock Consistency</x:v>
      </x:c>
      <x:c r="C1" s="16" t="str">
        <x:v>Cross-Stock Consistency</x:v>
      </x:c>
      <x:c r="D1" s="16" t="str">
        <x:v>Cross-Stock Consistency</x:v>
      </x:c>
      <x:c r="E1" s="16" t="str">
        <x:v>Cross-Stock Consistency</x:v>
      </x:c>
      <x:c r="F1" s="16" t="str">
        <x:v>Cross-Stock Consistency</x:v>
      </x:c>
      <x:c r="G1" s="16" t="str">
        <x:v>Cross-Stock Consistency</x:v>
      </x:c>
      <x:c r="H1" s="17" t="str">
        <x:v>Cross-Stock Consistency</x:v>
      </x:c>
    </x:row>
    <x:row r="2">
      <x:c r="A2" s="18" t="str">
        <x:v>Cross-Stock Consistency</x:v>
      </x:c>
      <x:c r="B2" s="19" t="str">
        <x:v>Cross-Stock Consistency</x:v>
      </x:c>
      <x:c r="C2" s="19" t="str">
        <x:v>Cross-Stock Consistency</x:v>
      </x:c>
      <x:c r="D2" s="19" t="str">
        <x:v>Cross-Stock Consistency</x:v>
      </x:c>
      <x:c r="E2" s="19" t="str">
        <x:v>Cross-Stock Consistency</x:v>
      </x:c>
      <x:c r="F2" s="19" t="str">
        <x:v>Cross-Stock Consistency</x:v>
      </x:c>
      <x:c r="G2" s="19" t="str">
        <x:v>Cross-Stock Consistency</x:v>
      </x:c>
      <x:c r="H2" s="20" t="str">
        <x:v>Cross-Stock Consistency</x:v>
      </x:c>
    </x:row>
    <x:row r="3">
      <x:c r="A3" s="29" t="str">
        <x:v>A pattern is not universal. This sheet shows exactly where lift was above or below 1.0.</x:v>
      </x:c>
      <x:c r="B3" s="30" t="str">
        <x:v>A pattern is not universal. This sheet shows exactly where lift was above or below 1.0.</x:v>
      </x:c>
      <x:c r="C3" s="30" t="str">
        <x:v>A pattern is not universal. This sheet shows exactly where lift was above or below 1.0.</x:v>
      </x:c>
      <x:c r="D3" s="30" t="str">
        <x:v>A pattern is not universal. This sheet shows exactly where lift was above or below 1.0.</x:v>
      </x:c>
      <x:c r="E3" s="30" t="str">
        <x:v>A pattern is not universal. This sheet shows exactly where lift was above or below 1.0.</x:v>
      </x:c>
      <x:c r="F3" s="30" t="str">
        <x:v>A pattern is not universal. This sheet shows exactly where lift was above or below 1.0.</x:v>
      </x:c>
      <x:c r="G3" s="30" t="str">
        <x:v>A pattern is not universal. This sheet shows exactly where lift was above or below 1.0.</x:v>
      </x:c>
      <x:c r="H3" s="31" t="str">
        <x:v>A pattern is not universal. This sheet shows exactly where lift was above or below 1.0.</x:v>
      </x:c>
    </x:row>
    <x:row r="5">
      <x:c r="A5" s="43" t="str">
        <x:v>Level</x:v>
      </x:c>
      <x:c r="B5" s="44" t="str">
        <x:v>Symbol</x:v>
      </x:c>
      <x:c r="C5" s="44" t="str">
        <x:v>Eligible Rows</x:v>
      </x:c>
      <x:c r="D5" s="44" t="str">
        <x:v>Fires</x:v>
      </x:c>
      <x:c r="E5" s="44" t="str">
        <x:v>Precision</x:v>
      </x:c>
      <x:c r="F5" s="44" t="str">
        <x:v>Lift</x:v>
      </x:c>
      <x:c r="G5" s="44" t="str">
        <x:v>Lift &gt; 1</x:v>
      </x:c>
      <x:c r="H5" s="45" t="str">
        <x:v>Sample Note</x:v>
      </x:c>
    </x:row>
    <x:row r="6">
      <x:c r="A6" t="str">
        <x:v>WATCH</x:v>
      </x:c>
      <x:c r="B6" t="str">
        <x:v>BAJAJFINSV</x:v>
      </x:c>
      <x:c r="C6" t="n">
        <x:v>1179</x:v>
      </x:c>
      <x:c r="D6" t="n">
        <x:v>54</x:v>
      </x:c>
      <x:c r="E6" s="46" t="n">
        <x:v>0.2777777777777778</x:v>
      </x:c>
      <x:c r="F6" s="47" t="n">
        <x:v>1.3760504201680672</x:v>
      </x:c>
      <x:c r="G6" t="str">
        <x:f>IF(F6&gt;1,"YES","NO")</x:f>
        <x:v>YES</x:v>
      </x:c>
      <x:c r="H6" t="str">
        <x:v>Eligible</x:v>
      </x:c>
    </x:row>
    <x:row r="7">
      <x:c r="A7" t="str">
        <x:v>WATCH</x:v>
      </x:c>
      <x:c r="B7" t="str">
        <x:v>BAJFINANCE</x:v>
      </x:c>
      <x:c r="C7" t="n">
        <x:v>1180</x:v>
      </x:c>
      <x:c r="D7" t="n">
        <x:v>26</x:v>
      </x:c>
      <x:c r="E7" s="46" t="n">
        <x:v>0.11538461538461539</x:v>
      </x:c>
      <x:c r="F7" s="47" t="n">
        <x:v>1.0805860805860807</x:v>
      </x:c>
      <x:c r="G7" t="str">
        <x:f>IF(F7&gt;1,"YES","NO")</x:f>
        <x:v>YES</x:v>
      </x:c>
      <x:c r="H7" t="str">
        <x:v>Eligible</x:v>
      </x:c>
    </x:row>
    <x:row r="8">
      <x:c r="A8" t="str">
        <x:v>WATCH</x:v>
      </x:c>
      <x:c r="B8" t="str">
        <x:v>BHARTIARTL</x:v>
      </x:c>
      <x:c r="C8" t="n">
        <x:v>2418</x:v>
      </x:c>
      <x:c r="D8" t="n">
        <x:v>72</x:v>
      </x:c>
      <x:c r="E8" s="46" t="n">
        <x:v>0.08333333333333333</x:v>
      </x:c>
      <x:c r="F8" s="47" t="n">
        <x:v>0.6948275862068966</x:v>
      </x:c>
      <x:c r="G8" t="str">
        <x:f>IF(F8&gt;1,"YES","NO")</x:f>
        <x:v>NO</x:v>
      </x:c>
      <x:c r="H8" t="str">
        <x:v>Eligible</x:v>
      </x:c>
    </x:row>
    <x:row r="9">
      <x:c r="A9" t="str">
        <x:v>WATCH</x:v>
      </x:c>
      <x:c r="B9" t="str">
        <x:v>DRREDDY</x:v>
      </x:c>
      <x:c r="C9" t="n">
        <x:v>2418</x:v>
      </x:c>
      <x:c r="D9" t="n">
        <x:v>80</x:v>
      </x:c>
      <x:c r="E9" s="46" t="n">
        <x:v>0.175</x:v>
      </x:c>
      <x:c r="F9" s="47" t="n">
        <x:v>1.9321917808219178</x:v>
      </x:c>
      <x:c r="G9" t="str">
        <x:f>IF(F9&gt;1,"YES","NO")</x:f>
        <x:v>YES</x:v>
      </x:c>
      <x:c r="H9" t="str">
        <x:v>Eligible</x:v>
      </x:c>
    </x:row>
    <x:row r="10">
      <x:c r="A10" t="str">
        <x:v>WATCH</x:v>
      </x:c>
      <x:c r="B10" t="str">
        <x:v>HDFCBANK</x:v>
      </x:c>
      <x:c r="C10" t="n">
        <x:v>2418</x:v>
      </x:c>
      <x:c r="D10" t="n">
        <x:v>39</x:v>
      </x:c>
      <x:c r="E10" s="46" t="n">
        <x:v>0.05128205128205128</x:v>
      </x:c>
      <x:c r="F10" s="47" t="n">
        <x:v>1.0973451327433628</x:v>
      </x:c>
      <x:c r="G10" t="str">
        <x:f>IF(F10&gt;1,"YES","NO")</x:f>
        <x:v>YES</x:v>
      </x:c>
      <x:c r="H10" t="str">
        <x:v>Eligible</x:v>
      </x:c>
    </x:row>
    <x:row r="11">
      <x:c r="A11" t="str">
        <x:v>WATCH</x:v>
      </x:c>
      <x:c r="B11" t="str">
        <x:v>HINDUNILVR</x:v>
      </x:c>
      <x:c r="C11" t="n">
        <x:v>2418</x:v>
      </x:c>
      <x:c r="D11" t="n">
        <x:v>58</x:v>
      </x:c>
      <x:c r="E11" s="46" t="n">
        <x:v>0.08620689655172414</x:v>
      </x:c>
      <x:c r="F11" s="47" t="n">
        <x:v>1.603448275862069</x:v>
      </x:c>
      <x:c r="G11" t="str">
        <x:f>IF(F11&gt;1,"YES","NO")</x:f>
        <x:v>YES</x:v>
      </x:c>
      <x:c r="H11" t="str">
        <x:v>Eligible</x:v>
      </x:c>
    </x:row>
    <x:row r="12">
      <x:c r="A12" t="str">
        <x:v>WATCH</x:v>
      </x:c>
      <x:c r="B12" t="str">
        <x:v>ICICIBANK</x:v>
      </x:c>
      <x:c r="C12" t="n">
        <x:v>1180</x:v>
      </x:c>
      <x:c r="D12" t="n">
        <x:v>16</x:v>
      </x:c>
      <x:c r="E12" s="46" t="n">
        <x:v>0</x:v>
      </x:c>
      <x:c r="F12" s="47" t="n">
        <x:v>0</x:v>
      </x:c>
      <x:c r="G12" t="str">
        <x:f>IF(F12&gt;1,"YES","NO")</x:f>
        <x:v>NO</x:v>
      </x:c>
      <x:c r="H12" t="str">
        <x:v>Small fire count</x:v>
      </x:c>
    </x:row>
    <x:row r="13">
      <x:c r="A13" t="str">
        <x:v>WATCH</x:v>
      </x:c>
      <x:c r="B13" t="str">
        <x:v>INFY</x:v>
      </x:c>
      <x:c r="C13" t="n">
        <x:v>2418</x:v>
      </x:c>
      <x:c r="D13" t="n">
        <x:v>53</x:v>
      </x:c>
      <x:c r="E13" s="46" t="n">
        <x:v>0.11320754716981132</x:v>
      </x:c>
      <x:c r="F13" s="47" t="n">
        <x:v>1.5292505533888479</x:v>
      </x:c>
      <x:c r="G13" t="str">
        <x:f>IF(F13&gt;1,"YES","NO")</x:f>
        <x:v>YES</x:v>
      </x:c>
      <x:c r="H13" t="str">
        <x:v>Eligible</x:v>
      </x:c>
    </x:row>
    <x:row r="14">
      <x:c r="A14" t="str">
        <x:v>WATCH</x:v>
      </x:c>
      <x:c r="B14" t="str">
        <x:v>M&amp;M</x:v>
      </x:c>
      <x:c r="C14" t="n">
        <x:v>1179</x:v>
      </x:c>
      <x:c r="D14" t="n">
        <x:v>35</x:v>
      </x:c>
      <x:c r="E14" s="46" t="n">
        <x:v>0.08571428571428572</x:v>
      </x:c>
      <x:c r="F14" s="47" t="n">
        <x:v>0.7714285714285715</x:v>
      </x:c>
      <x:c r="G14" t="str">
        <x:f>IF(F14&gt;1,"YES","NO")</x:f>
        <x:v>NO</x:v>
      </x:c>
      <x:c r="H14" t="str">
        <x:v>Eligible</x:v>
      </x:c>
    </x:row>
    <x:row r="15">
      <x:c r="A15" t="str">
        <x:v>WATCH</x:v>
      </x:c>
      <x:c r="B15" t="str">
        <x:v>MARUTI</x:v>
      </x:c>
      <x:c r="C15" t="n">
        <x:v>2418</x:v>
      </x:c>
      <x:c r="D15" t="n">
        <x:v>58</x:v>
      </x:c>
      <x:c r="E15" s="46" t="n">
        <x:v>0.13793103448275862</x:v>
      </x:c>
      <x:c r="F15" s="47" t="n">
        <x:v>1.2261663286004056</x:v>
      </x:c>
      <x:c r="G15" t="str">
        <x:f>IF(F15&gt;1,"YES","NO")</x:f>
        <x:v>YES</x:v>
      </x:c>
      <x:c r="H15" t="str">
        <x:v>Eligible</x:v>
      </x:c>
    </x:row>
    <x:row r="16">
      <x:c r="A16" t="str">
        <x:v>WATCH</x:v>
      </x:c>
      <x:c r="B16" t="str">
        <x:v>ONGC</x:v>
      </x:c>
      <x:c r="C16" t="n">
        <x:v>1180</x:v>
      </x:c>
      <x:c r="D16" t="n">
        <x:v>57</x:v>
      </x:c>
      <x:c r="E16" s="46" t="n">
        <x:v>0.2807017543859649</x:v>
      </x:c>
      <x:c r="F16" s="47" t="n">
        <x:v>2.1369552914544423</x:v>
      </x:c>
      <x:c r="G16" t="str">
        <x:f>IF(F16&gt;1,"YES","NO")</x:f>
        <x:v>YES</x:v>
      </x:c>
      <x:c r="H16" t="str">
        <x:v>Eligible</x:v>
      </x:c>
    </x:row>
    <x:row r="17">
      <x:c r="A17" t="str">
        <x:v>WATCH</x:v>
      </x:c>
      <x:c r="B17" t="str">
        <x:v>RELIANCE</x:v>
      </x:c>
      <x:c r="C17" t="n">
        <x:v>2418</x:v>
      </x:c>
      <x:c r="D17" t="n">
        <x:v>50</x:v>
      </x:c>
      <x:c r="E17" s="46" t="n">
        <x:v>0.06</x:v>
      </x:c>
      <x:c r="F17" s="47" t="n">
        <x:v>0.5558620689655172</x:v>
      </x:c>
      <x:c r="G17" t="str">
        <x:f>IF(F17&gt;1,"YES","NO")</x:f>
        <x:v>NO</x:v>
      </x:c>
      <x:c r="H17" t="str">
        <x:v>Eligible</x:v>
      </x:c>
    </x:row>
    <x:row r="18">
      <x:c r="A18" t="str">
        <x:v>WATCH</x:v>
      </x:c>
      <x:c r="B18" t="str">
        <x:v>SBIN</x:v>
      </x:c>
      <x:c r="C18" t="n">
        <x:v>2418</x:v>
      </x:c>
      <x:c r="D18" t="n">
        <x:v>49</x:v>
      </x:c>
      <x:c r="E18" s="46" t="n">
        <x:v>0.08163265306122448</x:v>
      </x:c>
      <x:c r="F18" s="47" t="n">
        <x:v>0.6092214663643235</x:v>
      </x:c>
      <x:c r="G18" t="str">
        <x:f>IF(F18&gt;1,"YES","NO")</x:f>
        <x:v>NO</x:v>
      </x:c>
      <x:c r="H18" t="str">
        <x:v>Eligible</x:v>
      </x:c>
    </x:row>
    <x:row r="19">
      <x:c r="A19" t="str">
        <x:v>WATCH</x:v>
      </x:c>
      <x:c r="B19" t="str">
        <x:v>SUNPHARMA</x:v>
      </x:c>
      <x:c r="C19" t="n">
        <x:v>2418</x:v>
      </x:c>
      <x:c r="D19" t="n">
        <x:v>91</x:v>
      </x:c>
      <x:c r="E19" s="46" t="n">
        <x:v>0.0989010989010989</x:v>
      </x:c>
      <x:c r="F19" s="47" t="n">
        <x:v>1.1020408163265305</x:v>
      </x:c>
      <x:c r="G19" t="str">
        <x:f>IF(F19&gt;1,"YES","NO")</x:f>
        <x:v>YES</x:v>
      </x:c>
      <x:c r="H19" t="str">
        <x:v>Eligible</x:v>
      </x:c>
    </x:row>
    <x:row r="20">
      <x:c r="A20" t="str">
        <x:v>WATCH</x:v>
      </x:c>
      <x:c r="B20" t="str">
        <x:v>TATASTEEL</x:v>
      </x:c>
      <x:c r="C20" t="n">
        <x:v>2418</x:v>
      </x:c>
      <x:c r="D20" t="n">
        <x:v>62</x:v>
      </x:c>
      <x:c r="E20" s="46" t="n">
        <x:v>0.16129032258064516</x:v>
      </x:c>
      <x:c r="F20" s="47" t="n">
        <x:v>0.9798994974874372</x:v>
      </x:c>
      <x:c r="G20" t="str">
        <x:f>IF(F20&gt;1,"YES","NO")</x:f>
        <x:v>NO</x:v>
      </x:c>
      <x:c r="H20" t="str">
        <x:v>Eligible</x:v>
      </x:c>
    </x:row>
    <x:row r="21">
      <x:c r="A21" t="str">
        <x:v>WATCH</x:v>
      </x:c>
      <x:c r="B21" t="str">
        <x:v>TCS</x:v>
      </x:c>
      <x:c r="C21" t="n">
        <x:v>1179</x:v>
      </x:c>
      <x:c r="D21" t="n">
        <x:v>41</x:v>
      </x:c>
      <x:c r="E21" s="46" t="n">
        <x:v>0.2926829268292683</x:v>
      </x:c>
      <x:c r="F21" s="47" t="n">
        <x:v>2.6544090056285174</x:v>
      </x:c>
      <x:c r="G21" t="str">
        <x:f>IF(F21&gt;1,"YES","NO")</x:f>
        <x:v>YES</x:v>
      </x:c>
      <x:c r="H21" t="str">
        <x:v>Eligible</x:v>
      </x:c>
    </x:row>
    <x:row r="22">
      <x:c r="A22" t="str">
        <x:v>STRONG</x:v>
      </x:c>
      <x:c r="B22" t="str">
        <x:v>BAJAJFINSV</x:v>
      </x:c>
      <x:c r="C22" t="n">
        <x:v>1179</x:v>
      </x:c>
      <x:c r="D22" t="n">
        <x:v>14</x:v>
      </x:c>
      <x:c r="E22" s="46" t="n">
        <x:v>0.2857142857142857</x:v>
      </x:c>
      <x:c r="F22" s="47" t="n">
        <x:v>1.4153661464585834</x:v>
      </x:c>
      <x:c r="G22" t="str">
        <x:f>IF(F22&gt;1,"YES","NO")</x:f>
        <x:v>YES</x:v>
      </x:c>
      <x:c r="H22" t="str">
        <x:v>Small fire count</x:v>
      </x:c>
    </x:row>
    <x:row r="23">
      <x:c r="A23" t="str">
        <x:v>STRONG</x:v>
      </x:c>
      <x:c r="B23" t="str">
        <x:v>BHARTIARTL</x:v>
      </x:c>
      <x:c r="C23" t="n">
        <x:v>2418</x:v>
      </x:c>
      <x:c r="D23" t="n">
        <x:v>15</x:v>
      </x:c>
      <x:c r="E23" s="46" t="n">
        <x:v>0.13333333333333333</x:v>
      </x:c>
      <x:c r="F23" s="47" t="n">
        <x:v>1.1117241379310345</x:v>
      </x:c>
      <x:c r="G23" t="str">
        <x:f>IF(F23&gt;1,"YES","NO")</x:f>
        <x:v>YES</x:v>
      </x:c>
      <x:c r="H23" t="str">
        <x:v>Small fire count</x:v>
      </x:c>
    </x:row>
    <x:row r="24">
      <x:c r="A24" t="str">
        <x:v>STRONG</x:v>
      </x:c>
      <x:c r="B24" t="str">
        <x:v>DRREDDY</x:v>
      </x:c>
      <x:c r="C24" t="n">
        <x:v>2418</x:v>
      </x:c>
      <x:c r="D24" t="n">
        <x:v>24</x:v>
      </x:c>
      <x:c r="E24" s="46" t="n">
        <x:v>0.16666666666666666</x:v>
      </x:c>
      <x:c r="F24" s="47" t="n">
        <x:v>1.8401826484018264</x:v>
      </x:c>
      <x:c r="G24" t="str">
        <x:f>IF(F24&gt;1,"YES","NO")</x:f>
        <x:v>YES</x:v>
      </x:c>
      <x:c r="H24" t="str">
        <x:v>Eligible</x:v>
      </x:c>
    </x:row>
    <x:row r="25">
      <x:c r="A25" t="str">
        <x:v>STRONG</x:v>
      </x:c>
      <x:c r="B25" t="str">
        <x:v>HINDUNILVR</x:v>
      </x:c>
      <x:c r="C25" t="n">
        <x:v>2418</x:v>
      </x:c>
      <x:c r="D25" t="n">
        <x:v>18</x:v>
      </x:c>
      <x:c r="E25" s="46" t="n">
        <x:v>0.05555555555555555</x:v>
      </x:c>
      <x:c r="F25" s="47" t="n">
        <x:v>1.0333333333333332</x:v>
      </x:c>
      <x:c r="G25" t="str">
        <x:f>IF(F25&gt;1,"YES","NO")</x:f>
        <x:v>YES</x:v>
      </x:c>
      <x:c r="H25" t="str">
        <x:v>Small fire count</x:v>
      </x:c>
    </x:row>
    <x:row r="26">
      <x:c r="A26" t="str">
        <x:v>STRONG</x:v>
      </x:c>
      <x:c r="B26" t="str">
        <x:v>INFY</x:v>
      </x:c>
      <x:c r="C26" t="n">
        <x:v>2418</x:v>
      </x:c>
      <x:c r="D26" t="n">
        <x:v>12</x:v>
      </x:c>
      <x:c r="E26" s="46" t="n">
        <x:v>0.08333333333333333</x:v>
      </x:c>
      <x:c r="F26" s="47" t="n">
        <x:v>1.1256983240223462</x:v>
      </x:c>
      <x:c r="G26" t="str">
        <x:f>IF(F26&gt;1,"YES","NO")</x:f>
        <x:v>YES</x:v>
      </x:c>
      <x:c r="H26" t="str">
        <x:v>Small fire count</x:v>
      </x:c>
    </x:row>
    <x:row r="27">
      <x:c r="A27" t="str">
        <x:v>STRONG</x:v>
      </x:c>
      <x:c r="B27" t="str">
        <x:v>MARUTI</x:v>
      </x:c>
      <x:c r="C27" t="n">
        <x:v>2418</x:v>
      </x:c>
      <x:c r="D27" t="n">
        <x:v>19</x:v>
      </x:c>
      <x:c r="E27" s="46" t="n">
        <x:v>0.21052631578947367</x:v>
      </x:c>
      <x:c r="F27" s="47" t="n">
        <x:v>1.871517027863777</x:v>
      </x:c>
      <x:c r="G27" t="str">
        <x:f>IF(F27&gt;1,"YES","NO")</x:f>
        <x:v>YES</x:v>
      </x:c>
      <x:c r="H27" t="str">
        <x:v>Small fire count</x:v>
      </x:c>
    </x:row>
    <x:row r="28">
      <x:c r="A28" t="str">
        <x:v>STRONG</x:v>
      </x:c>
      <x:c r="B28" t="str">
        <x:v>ONGC</x:v>
      </x:c>
      <x:c r="C28" t="n">
        <x:v>1180</x:v>
      </x:c>
      <x:c r="D28" t="n">
        <x:v>22</x:v>
      </x:c>
      <x:c r="E28" s="46" t="n">
        <x:v>0.3181818181818182</x:v>
      </x:c>
      <x:c r="F28" s="47" t="n">
        <x:v>2.422287390029325</x:v>
      </x:c>
      <x:c r="G28" t="str">
        <x:f>IF(F28&gt;1,"YES","NO")</x:f>
        <x:v>YES</x:v>
      </x:c>
      <x:c r="H28" t="str">
        <x:v>Eligible</x:v>
      </x:c>
    </x:row>
    <x:row r="29">
      <x:c r="A29" t="str">
        <x:v>STRONG</x:v>
      </x:c>
      <x:c r="B29" t="str">
        <x:v>RELIANCE</x:v>
      </x:c>
      <x:c r="C29" t="n">
        <x:v>2418</x:v>
      </x:c>
      <x:c r="D29" t="n">
        <x:v>13</x:v>
      </x:c>
      <x:c r="E29" s="46" t="n">
        <x:v>0.07692307692307693</x:v>
      </x:c>
      <x:c r="F29" s="47" t="n">
        <x:v>0.7126436781609196</x:v>
      </x:c>
      <x:c r="G29" t="str">
        <x:f>IF(F29&gt;1,"YES","NO")</x:f>
        <x:v>NO</x:v>
      </x:c>
      <x:c r="H29" t="str">
        <x:v>Small fire count</x:v>
      </x:c>
    </x:row>
    <x:row r="30">
      <x:c r="A30" t="str">
        <x:v>STRONG</x:v>
      </x:c>
      <x:c r="B30" t="str">
        <x:v>SBIN</x:v>
      </x:c>
      <x:c r="C30" t="n">
        <x:v>2418</x:v>
      </x:c>
      <x:c r="D30" t="n">
        <x:v>11</x:v>
      </x:c>
      <x:c r="E30" s="46" t="n">
        <x:v>0.09090909090909091</x:v>
      </x:c>
      <x:c r="F30" s="47" t="n">
        <x:v>0.6784511784511785</x:v>
      </x:c>
      <x:c r="G30" t="str">
        <x:f>IF(F30&gt;1,"YES","NO")</x:f>
        <x:v>NO</x:v>
      </x:c>
      <x:c r="H30" t="str">
        <x:v>Small fire count</x:v>
      </x:c>
    </x:row>
    <x:row r="31">
      <x:c r="A31" t="str">
        <x:v>STRONG</x:v>
      </x:c>
      <x:c r="B31" t="str">
        <x:v>SUNPHARMA</x:v>
      </x:c>
      <x:c r="C31" t="n">
        <x:v>2418</x:v>
      </x:c>
      <x:c r="D31" t="n">
        <x:v>24</x:v>
      </x:c>
      <x:c r="E31" s="46" t="n">
        <x:v>0</x:v>
      </x:c>
      <x:c r="F31" s="47" t="n">
        <x:v>0</x:v>
      </x:c>
      <x:c r="G31" t="str">
        <x:f>IF(F31&gt;1,"YES","NO")</x:f>
        <x:v>NO</x:v>
      </x:c>
      <x:c r="H31" t="str">
        <x:v>Eligible</x:v>
      </x:c>
    </x:row>
    <x:row r="32">
      <x:c r="A32" t="str">
        <x:v>STRONG</x:v>
      </x:c>
      <x:c r="B32" t="str">
        <x:v>TATASTEEL</x:v>
      </x:c>
      <x:c r="C32" t="n">
        <x:v>2418</x:v>
      </x:c>
      <x:c r="D32" t="n">
        <x:v>18</x:v>
      </x:c>
      <x:c r="E32" s="46" t="n">
        <x:v>0.2777777777777778</x:v>
      </x:c>
      <x:c r="F32" s="47" t="n">
        <x:v>1.687604690117253</x:v>
      </x:c>
      <x:c r="G32" t="str">
        <x:f>IF(F32&gt;1,"YES","NO")</x:f>
        <x:v>YES</x:v>
      </x:c>
      <x:c r="H32" t="str">
        <x:v>Small fire count</x:v>
      </x:c>
    </x:row>
  </x:sheetData>
  <x:mergeCells>
    <x:mergeCell ref="A1:H2"/>
    <x:mergeCell ref="A3:H3"/>
  </x:mergeCells>
  <x:conditionalFormatting sqref="G6:G32">
    <x:cfRule type="containsText" dxfId="2" priority="1" operator="containsText" text="YES"/>
    <x:cfRule type="containsText" dxfId="3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52ec0f539d8b4b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8" hidden="0" customWidth="1"/>
    <x:col min="5" max="5" width="19" hidden="0" customWidth="1"/>
    <x:col min="6" max="6" width="12" hidden="0" customWidth="1"/>
    <x:col min="7" max="7" width="10" hidden="0" customWidth="1"/>
    <x:col min="8" max="8" width="10" hidden="0" customWidth="1"/>
    <x:col min="9" max="9" width="16" hidden="0" customWidth="1"/>
    <x:col min="10" max="10" width="19" hidden="0" customWidth="1"/>
    <x:col min="11" max="11" width="17" hidden="0" customWidth="1"/>
    <x:col min="12" max="12" width="14" hidden="0" customWidth="1"/>
    <x:col min="13" max="13" width="22" hidden="0" customWidth="1"/>
    <x:col min="14" max="14" width="14" hidden="0" customWidth="1"/>
  </x:cols>
  <x:sheetData>
    <x:row r="1">
      <x:c r="A1" s="15" t="str">
        <x:v>Rise Event Ledger — historical validation anchors</x:v>
      </x:c>
      <x:c r="B1" s="16" t="str">
        <x:v>Rise Event Ledger — historical validation anchors</x:v>
      </x:c>
      <x:c r="C1" s="16" t="str">
        <x:v>Rise Event Ledger — historical validation anchors</x:v>
      </x:c>
      <x:c r="D1" s="16" t="str">
        <x:v>Rise Event Ledger — historical validation anchors</x:v>
      </x:c>
      <x:c r="E1" s="16" t="str">
        <x:v>Rise Event Ledger — historical validation anchors</x:v>
      </x:c>
      <x:c r="F1" s="16" t="str">
        <x:v>Rise Event Ledger — historical validation anchors</x:v>
      </x:c>
      <x:c r="G1" s="16" t="str">
        <x:v>Rise Event Ledger — historical validation anchors</x:v>
      </x:c>
      <x:c r="H1" s="16" t="str">
        <x:v>Rise Event Ledger — historical validation anchors</x:v>
      </x:c>
      <x:c r="I1" s="16" t="str">
        <x:v>Rise Event Ledger — historical validation anchors</x:v>
      </x:c>
      <x:c r="J1" s="16" t="str">
        <x:v>Rise Event Ledger — historical validation anchors</x:v>
      </x:c>
      <x:c r="K1" s="16" t="str">
        <x:v>Rise Event Ledger — historical validation anchors</x:v>
      </x:c>
      <x:c r="L1" s="16" t="str">
        <x:v>Rise Event Ledger — historical validation anchors</x:v>
      </x:c>
      <x:c r="M1" s="16" t="str">
        <x:v>Rise Event Ledger — historical validation anchors</x:v>
      </x:c>
      <x:c r="N1" s="17" t="str">
        <x:v>Rise Event Ledger — historical validation anchors</x:v>
      </x:c>
    </x:row>
    <x:row r="2">
      <x:c r="A2" s="18" t="str">
        <x:v>Rise Event Ledger — historical validation anchors</x:v>
      </x:c>
      <x:c r="B2" s="19" t="str">
        <x:v>Rise Event Ledger — historical validation anchors</x:v>
      </x:c>
      <x:c r="C2" s="19" t="str">
        <x:v>Rise Event Ledger — historical validation anchors</x:v>
      </x:c>
      <x:c r="D2" s="19" t="str">
        <x:v>Rise Event Ledger — historical validation anchors</x:v>
      </x:c>
      <x:c r="E2" s="19" t="str">
        <x:v>Rise Event Ledger — historical validation anchors</x:v>
      </x:c>
      <x:c r="F2" s="19" t="str">
        <x:v>Rise Event Ledger — historical validation anchors</x:v>
      </x:c>
      <x:c r="G2" s="19" t="str">
        <x:v>Rise Event Ledger — historical validation anchors</x:v>
      </x:c>
      <x:c r="H2" s="19" t="str">
        <x:v>Rise Event Ledger — historical validation anchors</x:v>
      </x:c>
      <x:c r="I2" s="19" t="str">
        <x:v>Rise Event Ledger — historical validation anchors</x:v>
      </x:c>
      <x:c r="J2" s="19" t="str">
        <x:v>Rise Event Ledger — historical validation anchors</x:v>
      </x:c>
      <x:c r="K2" s="19" t="str">
        <x:v>Rise Event Ledger — historical validation anchors</x:v>
      </x:c>
      <x:c r="L2" s="19" t="str">
        <x:v>Rise Event Ledger — historical validation anchors</x:v>
      </x:c>
      <x:c r="M2" s="19" t="str">
        <x:v>Rise Event Ledger — historical validation anchors</x:v>
      </x:c>
      <x:c r="N2" s="20" t="str">
        <x:v>Rise Event Ledger — historical validation anchors</x:v>
      </x:c>
    </x:row>
    <x:row r="3">
      <x:c r="A3" s="29" t="str">
        <x:v>Each row is the first labeled date after five non-labeled sessions. Future returns are validation labels only.</x:v>
      </x:c>
      <x:c r="B3" s="30" t="str">
        <x:v>Each row is the first labeled date after five non-labeled sessions. Future returns are validation labels only.</x:v>
      </x:c>
      <x:c r="C3" s="30" t="str">
        <x:v>Each row is the first labeled date after five non-labeled sessions. Future returns are validation labels only.</x:v>
      </x:c>
      <x:c r="D3" s="30" t="str">
        <x:v>Each row is the first labeled date after five non-labeled sessions. Future returns are validation labels only.</x:v>
      </x:c>
      <x:c r="E3" s="30" t="str">
        <x:v>Each row is the first labeled date after five non-labeled sessions. Future returns are validation labels only.</x:v>
      </x:c>
      <x:c r="F3" s="30" t="str">
        <x:v>Each row is the first labeled date after five non-labeled sessions. Future returns are validation labels only.</x:v>
      </x:c>
      <x:c r="G3" s="30" t="str">
        <x:v>Each row is the first labeled date after five non-labeled sessions. Future returns are validation labels only.</x:v>
      </x:c>
      <x:c r="H3" s="30" t="str">
        <x:v>Each row is the first labeled date after five non-labeled sessions. Future returns are validation labels only.</x:v>
      </x:c>
      <x:c r="I3" s="30" t="str">
        <x:v>Each row is the first labeled date after five non-labeled sessions. Future returns are validation labels only.</x:v>
      </x:c>
      <x:c r="J3" s="30" t="str">
        <x:v>Each row is the first labeled date after five non-labeled sessions. Future returns are validation labels only.</x:v>
      </x:c>
      <x:c r="K3" s="30" t="str">
        <x:v>Each row is the first labeled date after five non-labeled sessions. Future returns are validation labels only.</x:v>
      </x:c>
      <x:c r="L3" s="30" t="str">
        <x:v>Each row is the first labeled date after five non-labeled sessions. Future returns are validation labels only.</x:v>
      </x:c>
      <x:c r="M3" s="30" t="str">
        <x:v>Each row is the first labeled date after five non-labeled sessions. Future returns are validation labels only.</x:v>
      </x:c>
      <x:c r="N3" s="31" t="str">
        <x:v>Each row is the first labeled date after five non-labeled sessions. Future returns are validation labels only.</x:v>
      </x:c>
    </x:row>
    <x:row r="5">
      <x:c r="A5" s="43" t="str">
        <x:v>Symbol</x:v>
      </x:c>
      <x:c r="B5" s="44" t="str">
        <x:v>Signal Date</x:v>
      </x:c>
      <x:c r="C5" s="44" t="str">
        <x:v>Close</x:v>
      </x:c>
      <x:c r="D5" s="44" t="str">
        <x:v>Future Max Return 10D</x:v>
      </x:c>
      <x:c r="E5" s="44" t="str">
        <x:v>Future Close Return 10D</x:v>
      </x:c>
      <x:c r="F5" s="44" t="str">
        <x:v>Days to +8%</x:v>
      </x:c>
      <x:c r="G5" s="44" t="str">
        <x:v>WATCH</x:v>
      </x:c>
      <x:c r="H5" s="44" t="str">
        <x:v>STRONG</x:v>
      </x:c>
      <x:c r="I5" s="44" t="str">
        <x:v>Inside Bars ≥ 3</x:v>
      </x:c>
      <x:c r="J5" s="44" t="str">
        <x:v>Positive Volume Wake</x:v>
      </x:c>
      <x:c r="K5" s="44" t="str">
        <x:v>Momentum Quality</x:v>
      </x:c>
      <x:c r="L5" s="44" t="str">
        <x:v>Delivery High</x:v>
      </x:c>
      <x:c r="M5" s="44" t="str">
        <x:v>FII Futures Net Positive</x:v>
      </x:c>
      <x:c r="N5" s="45" t="str">
        <x:v>VIX Below 20</x:v>
      </x:c>
    </x:row>
    <x:row r="6">
      <x:c r="A6" t="str">
        <x:v>BAJAJFINSV</x:v>
      </x:c>
      <x:c r="B6" s="52" t="n">
        <x:v>42460</x:v>
      </x:c>
      <x:c r="C6" s="53" t="n">
        <x:v>1711.1</x:v>
      </x:c>
      <x:c r="D6" s="46" t="n">
        <x:v>0.09379931038513245</x:v>
      </x:c>
      <x:c r="E6" s="46" t="n">
        <x:v>0.09379931038513245</x:v>
      </x:c>
      <x:c r="F6" t="n">
        <x:v>10</x:v>
      </x:c>
      <x:c r="G6" s="51" t="b">
        <x:v>0</x:v>
      </x:c>
      <x:c r="H6" s="51" t="b">
        <x:v>0</x:v>
      </x:c>
      <x:c r="I6" s="51" t="b">
        <x:v>0</x:v>
      </x:c>
      <x:c r="J6" s="51" t="b">
        <x:v>0</x:v>
      </x:c>
      <x:c r="K6" s="51" t="b">
        <x:v>0</x:v>
      </x:c>
      <x:c r="L6" s="51" t="b">
        <x:v>0</x:v>
      </x:c>
      <x:c r="M6" s="51" t="b">
        <x:v>1</x:v>
      </x:c>
      <x:c r="N6" s="51" t="b">
        <x:v>0</x:v>
      </x:c>
    </x:row>
    <x:row r="7">
      <x:c r="A7" t="str">
        <x:v>BAJAJFINSV</x:v>
      </x:c>
      <x:c r="B7" s="52" t="n">
        <x:v>42522</x:v>
      </x:c>
      <x:c r="C7" s="53" t="n">
        <x:v>1798.55</x:v>
      </x:c>
      <x:c r="D7" s="46" t="n">
        <x:v>0.08248311139529063</x:v>
      </x:c>
      <x:c r="E7" s="46" t="n">
        <x:v>0.08248311139529063</x:v>
      </x:c>
      <x:c r="F7" t="n">
        <x:v>10</x:v>
      </x:c>
      <x:c r="G7" s="51" t="b">
        <x:v>0</x:v>
      </x:c>
      <x:c r="H7" s="51" t="b">
        <x:v>0</x:v>
      </x:c>
      <x:c r="I7" s="51" t="b">
        <x:v>0</x:v>
      </x:c>
      <x:c r="J7" s="51" t="b">
        <x:v>0</x:v>
      </x:c>
      <x:c r="K7" s="51" t="b">
        <x:v>0</x:v>
      </x:c>
      <x:c r="L7" s="51" t="b">
        <x:v>1</x:v>
      </x:c>
      <x:c r="M7" s="51" t="b">
        <x:v>1</x:v>
      </x:c>
      <x:c r="N7" s="51" t="b">
        <x:v>0</x:v>
      </x:c>
    </x:row>
    <x:row r="8">
      <x:c r="A8" t="str">
        <x:v>BAJAJFINSV</x:v>
      </x:c>
      <x:c r="B8" s="52" t="n">
        <x:v>42599</x:v>
      </x:c>
      <x:c r="C8" s="53" t="n">
        <x:v>2716.8</x:v>
      </x:c>
      <x:c r="D8" s="46" t="n">
        <x:v>0.09220406360424027</x:v>
      </x:c>
      <x:c r="E8" s="46" t="n">
        <x:v>0.09220406360424027</x:v>
      </x:c>
      <x:c r="F8" t="n">
        <x:v>10</x:v>
      </x:c>
      <x:c r="G8" s="51" t="b">
        <x:v>0</x:v>
      </x:c>
      <x:c r="H8" s="51" t="b">
        <x:v>0</x:v>
      </x:c>
      <x:c r="I8" s="51" t="b">
        <x:v>0</x:v>
      </x:c>
      <x:c r="J8" s="51" t="b">
        <x:v>0</x:v>
      </x:c>
      <x:c r="K8" s="51" t="b">
        <x:v>1</x:v>
      </x:c>
      <x:c r="L8" s="51" t="b">
        <x:v>1</x:v>
      </x:c>
      <x:c r="M8" s="51" t="b">
        <x:v>1</x:v>
      </x:c>
      <x:c r="N8" s="51" t="b">
        <x:v>0</x:v>
      </x:c>
    </x:row>
    <x:row r="9">
      <x:c r="A9" t="str">
        <x:v>BAJAJFINSV</x:v>
      </x:c>
      <x:c r="B9" s="52" t="n">
        <x:v>42622</x:v>
      </x:c>
      <x:c r="C9" s="53" t="n">
        <x:v>3034.4</x:v>
      </x:c>
      <x:c r="D9" s="46" t="n">
        <x:v>0.08576654363300817</x:v>
      </x:c>
      <x:c r="E9" s="46" t="n">
        <x:v>0.08324545214869494</x:v>
      </x:c>
      <x:c r="F9" t="n">
        <x:v>9</x:v>
      </x:c>
      <x:c r="G9" s="51" t="b">
        <x:v>0</x:v>
      </x:c>
      <x:c r="H9" s="51" t="b">
        <x:v>0</x:v>
      </x:c>
      <x:c r="I9" s="51" t="b">
        <x:v>0</x:v>
      </x:c>
      <x:c r="J9" s="51" t="b">
        <x:v>0</x:v>
      </x:c>
      <x:c r="K9" s="51" t="b">
        <x:v>0</x:v>
      </x:c>
      <x:c r="L9" s="51" t="b">
        <x:v>1</x:v>
      </x:c>
      <x:c r="M9" s="51" t="b">
        <x:v>1</x:v>
      </x:c>
      <x:c r="N9" s="51" t="b">
        <x:v>0</x:v>
      </x:c>
    </x:row>
    <x:row r="10">
      <x:c r="A10" t="str">
        <x:v>BAJAJFINSV</x:v>
      </x:c>
      <x:c r="B10" s="52" t="n">
        <x:v>42643</x:v>
      </x:c>
      <x:c r="C10" s="53" t="n">
        <x:v>3069.55</x:v>
      </x:c>
      <x:c r="D10" s="46" t="n">
        <x:v>0.08354644817644274</x:v>
      </x:c>
      <x:c r="E10" s="46" t="n">
        <x:v>0.08354644817644274</x:v>
      </x:c>
      <x:c r="F10" t="n">
        <x:v>10</x:v>
      </x:c>
      <x:c r="G10" s="51" t="b">
        <x:v>0</x:v>
      </x:c>
      <x:c r="H10" s="51" t="b">
        <x:v>0</x:v>
      </x:c>
      <x:c r="I10" s="51" t="b">
        <x:v>1</x:v>
      </x:c>
      <x:c r="J10" s="51" t="b">
        <x:v>0</x:v>
      </x:c>
      <x:c r="K10" s="51" t="b">
        <x:v>1</x:v>
      </x:c>
      <x:c r="L10" s="51" t="b">
        <x:v>1</x:v>
      </x:c>
      <x:c r="M10" s="51" t="b">
        <x:v>1</x:v>
      </x:c>
      <x:c r="N10" s="51" t="b">
        <x:v>0</x:v>
      </x:c>
    </x:row>
    <x:row r="11">
      <x:c r="A11" t="str">
        <x:v>BAJAJFINSV</x:v>
      </x:c>
      <x:c r="B11" s="52" t="n">
        <x:v>42724</x:v>
      </x:c>
      <x:c r="C11" s="53" t="n">
        <x:v>2694.65</x:v>
      </x:c>
      <x:c r="D11" s="46" t="n">
        <x:v>0.11949603844655154</x:v>
      </x:c>
      <x:c r="E11" s="46" t="n">
        <x:v>0.11949603844655154</x:v>
      </x:c>
      <x:c r="F11" t="n">
        <x:v>9</x:v>
      </x:c>
      <x:c r="G11" s="51" t="b">
        <x:v>0</x:v>
      </x:c>
      <x:c r="H11" s="51" t="b">
        <x:v>0</x:v>
      </x:c>
      <x:c r="I11" s="51" t="b">
        <x:v>0</x:v>
      </x:c>
      <x:c r="J11" s="51" t="b">
        <x:v>0</x:v>
      </x:c>
      <x:c r="K11" s="51" t="b">
        <x:v>0</x:v>
      </x:c>
      <x:c r="L11" s="51" t="b">
        <x:v>0</x:v>
      </x:c>
      <x:c r="M11" s="51" t="b">
        <x:v>1</x:v>
      </x:c>
      <x:c r="N11" s="51" t="b">
        <x:v>0</x:v>
      </x:c>
    </x:row>
    <x:row r="12">
      <x:c r="A12" t="str">
        <x:v>BAJAJFINSV</x:v>
      </x:c>
      <x:c r="B12" s="52" t="n">
        <x:v>42752</x:v>
      </x:c>
      <x:c r="C12" s="53" t="n">
        <x:v>3019.7</x:v>
      </x:c>
      <x:c r="D12" s="46" t="n">
        <x:v>0.10222869821505465</x:v>
      </x:c>
      <x:c r="E12" s="46" t="n">
        <x:v>0.10222869821505465</x:v>
      </x:c>
      <x:c r="F12" t="n">
        <x:v>10</x:v>
      </x:c>
      <x:c r="G12" s="51" t="b">
        <x:v>0</x:v>
      </x:c>
      <x:c r="H12" s="51" t="b">
        <x:v>0</x:v>
      </x:c>
      <x:c r="I12" s="51" t="b">
        <x:v>1</x:v>
      </x:c>
      <x:c r="J12" s="51" t="b">
        <x:v>0</x:v>
      </x:c>
      <x:c r="K12" s="51" t="b">
        <x:v>0</x:v>
      </x:c>
      <x:c r="L12" s="51" t="b">
        <x:v>1</x:v>
      </x:c>
      <x:c r="M12" s="51" t="b">
        <x:v>1</x:v>
      </x:c>
      <x:c r="N12" s="51" t="b">
        <x:v>0</x:v>
      </x:c>
    </x:row>
    <x:row r="13">
      <x:c r="A13" t="str">
        <x:v>BAJAJFINSV</x:v>
      </x:c>
      <x:c r="B13" s="52" t="n">
        <x:v>42780</x:v>
      </x:c>
      <x:c r="C13" s="53" t="n">
        <x:v>3592.9</x:v>
      </x:c>
      <x:c r="D13" s="46" t="n">
        <x:v>0.09211222132539176</x:v>
      </x:c>
      <x:c r="E13" s="46" t="n">
        <x:v>0.09211222132539176</x:v>
      </x:c>
      <x:c r="F13" t="n">
        <x:v>9</x:v>
      </x:c>
      <x:c r="G13" s="51" t="b">
        <x:v>0</x:v>
      </x:c>
      <x:c r="H13" s="51" t="b">
        <x:v>0</x:v>
      </x:c>
      <x:c r="I13" s="51" t="b">
        <x:v>0</x:v>
      </x:c>
      <x:c r="J13" s="51" t="b">
        <x:v>0</x:v>
      </x:c>
      <x:c r="K13" s="51" t="b">
        <x:v>0</x:v>
      </x:c>
      <x:c r="L13" s="51" t="b">
        <x:v>1</x:v>
      </x:c>
      <x:c r="M13" s="51" t="b">
        <x:v>1</x:v>
      </x:c>
      <x:c r="N13" s="51" t="b">
        <x:v>0</x:v>
      </x:c>
    </x:row>
    <x:row r="14">
      <x:c r="A14" t="str">
        <x:v>BAJAJFINSV</x:v>
      </x:c>
      <x:c r="B14" s="52" t="n">
        <x:v>42802</x:v>
      </x:c>
      <x:c r="C14" s="53" t="n">
        <x:v>3832.05</x:v>
      </x:c>
      <x:c r="D14" s="46" t="n">
        <x:v>0.08257982020067578</x:v>
      </x:c>
      <x:c r="E14" s="46" t="n">
        <x:v>0.08257982020067578</x:v>
      </x:c>
      <x:c r="F14" t="n">
        <x:v>10</x:v>
      </x:c>
      <x:c r="G14" s="51" t="b">
        <x:v>0</x:v>
      </x:c>
      <x:c r="H14" s="51" t="b">
        <x:v>0</x:v>
      </x:c>
      <x:c r="I14" s="51" t="b">
        <x:v>0</x:v>
      </x:c>
      <x:c r="J14" s="51" t="b">
        <x:v>0</x:v>
      </x:c>
      <x:c r="K14" s="51" t="b">
        <x:v>1</x:v>
      </x:c>
      <x:c r="L14" s="51" t="b">
        <x:v>0</x:v>
      </x:c>
      <x:c r="M14" s="51" t="b">
        <x:v>1</x:v>
      </x:c>
      <x:c r="N14" s="51" t="b">
        <x:v>0</x:v>
      </x:c>
    </x:row>
    <x:row r="15">
      <x:c r="A15" t="str">
        <x:v>BAJAJFINSV</x:v>
      </x:c>
      <x:c r="B15" s="52" t="n">
        <x:v>42821</x:v>
      </x:c>
      <x:c r="C15" s="53" t="n">
        <x:v>4044.8</x:v>
      </x:c>
      <x:c r="D15" s="46" t="n">
        <x:v>0.08159859572784822</x:v>
      </x:c>
      <x:c r="E15" s="46" t="n">
        <x:v>0.08159859572784822</x:v>
      </x:c>
      <x:c r="F15" t="n">
        <x:v>9</x:v>
      </x:c>
      <x:c r="G15" s="51" t="b">
        <x:v>0</x:v>
      </x:c>
      <x:c r="H15" s="51" t="b">
        <x:v>0</x:v>
      </x:c>
      <x:c r="I15" s="51" t="b">
        <x:v>0</x:v>
      </x:c>
      <x:c r="J15" s="51" t="b">
        <x:v>0</x:v>
      </x:c>
      <x:c r="K15" s="51" t="b">
        <x:v>1</x:v>
      </x:c>
      <x:c r="L15" s="51" t="b">
        <x:v>1</x:v>
      </x:c>
      <x:c r="M15" s="51" t="b">
        <x:v>1</x:v>
      </x:c>
      <x:c r="N15" s="51" t="b">
        <x:v>0</x:v>
      </x:c>
    </x:row>
    <x:row r="16">
      <x:c r="A16" t="str">
        <x:v>BAJAJFINSV</x:v>
      </x:c>
      <x:c r="B16" s="52" t="n">
        <x:v>42877</x:v>
      </x:c>
      <x:c r="C16" s="53" t="n">
        <x:v>3964.2</x:v>
      </x:c>
      <x:c r="D16" s="46" t="n">
        <x:v>0.08617123253115389</x:v>
      </x:c>
      <x:c r="E16" s="46" t="n">
        <x:v>0.08590636193935719</x:v>
      </x:c>
      <x:c r="F16" t="n">
        <x:v>9</x:v>
      </x:c>
      <x:c r="G16" s="51" t="b">
        <x:v>0</x:v>
      </x:c>
      <x:c r="H16" s="51" t="b">
        <x:v>0</x:v>
      </x:c>
      <x:c r="I16" s="51" t="b">
        <x:v>0</x:v>
      </x:c>
      <x:c r="J16" s="51" t="b">
        <x:v>0</x:v>
      </x:c>
      <x:c r="K16" s="51" t="b">
        <x:v>0</x:v>
      </x:c>
      <x:c r="L16" s="51" t="b">
        <x:v>0</x:v>
      </x:c>
      <x:c r="M16" s="51" t="b">
        <x:v>1</x:v>
      </x:c>
      <x:c r="N16" s="51" t="b">
        <x:v>0</x:v>
      </x:c>
    </x:row>
    <x:row r="17">
      <x:c r="A17" t="str">
        <x:v>BAJAJFINSV</x:v>
      </x:c>
      <x:c r="B17" s="52" t="n">
        <x:v>42921</x:v>
      </x:c>
      <x:c r="C17" s="53" t="n">
        <x:v>4149.25</x:v>
      </x:c>
      <x:c r="D17" s="46" t="n">
        <x:v>0.10007832740856792</x:v>
      </x:c>
      <x:c r="E17" s="46" t="n">
        <x:v>0.10007832740856792</x:v>
      </x:c>
      <x:c r="F17" t="n">
        <x:v>10</x:v>
      </x:c>
      <x:c r="G17" s="51" t="b">
        <x:v>0</x:v>
      </x:c>
      <x:c r="H17" s="51" t="b">
        <x:v>0</x:v>
      </x:c>
      <x:c r="I17" s="51" t="b">
        <x:v>0</x:v>
      </x:c>
      <x:c r="J17" s="51" t="b">
        <x:v>1</x:v>
      </x:c>
      <x:c r="K17" s="51" t="b">
        <x:v>0</x:v>
      </x:c>
      <x:c r="L17" s="51" t="b">
        <x:v>1</x:v>
      </x:c>
      <x:c r="M17" s="51" t="b">
        <x:v>1</x:v>
      </x:c>
      <x:c r="N17" s="51" t="b">
        <x:v>0</x:v>
      </x:c>
    </x:row>
    <x:row r="18">
      <x:c r="A18" t="str">
        <x:v>BAJAJFINSV</x:v>
      </x:c>
      <x:c r="B18" s="52" t="n">
        <x:v>42957</x:v>
      </x:c>
      <x:c r="C18" s="53" t="n">
        <x:v>5024.75</x:v>
      </x:c>
      <x:c r="D18" s="46" t="n">
        <x:v>0.11010498034728089</x:v>
      </x:c>
      <x:c r="E18" s="46" t="n">
        <x:v>0.11010498034728089</x:v>
      </x:c>
      <x:c r="F18" t="n">
        <x:v>9</x:v>
      </x:c>
      <x:c r="G18" s="51" t="b">
        <x:v>0</x:v>
      </x:c>
      <x:c r="H18" s="51" t="b">
        <x:v>0</x:v>
      </x:c>
      <x:c r="I18" s="51" t="b">
        <x:v>0</x:v>
      </x:c>
      <x:c r="J18" s="51" t="b">
        <x:v>0</x:v>
      </x:c>
      <x:c r="K18" s="51" t="b">
        <x:v>1</x:v>
      </x:c>
      <x:c r="L18" s="51" t="b">
        <x:v>0</x:v>
      </x:c>
      <x:c r="M18" s="51" t="b">
        <x:v>1</x:v>
      </x:c>
      <x:c r="N18" s="51" t="b">
        <x:v>0</x:v>
      </x:c>
    </x:row>
    <x:row r="19">
      <x:c r="A19" t="str">
        <x:v>BAJAJFINSV</x:v>
      </x:c>
      <x:c r="B19" s="52" t="n">
        <x:v>43054</x:v>
      </x:c>
      <x:c r="C19" s="53" t="n">
        <x:v>4902.65</x:v>
      </x:c>
      <x:c r="D19" s="46" t="n">
        <x:v>0.0821902440516864</x:v>
      </x:c>
      <x:c r="E19" s="46" t="n">
        <x:v>0.0821902440516864</x:v>
      </x:c>
      <x:c r="F19" t="n">
        <x:v>10</x:v>
      </x:c>
      <x:c r="G19" s="51" t="b">
        <x:v>0</x:v>
      </x:c>
      <x:c r="H19" s="51" t="b">
        <x:v>0</x:v>
      </x:c>
      <x:c r="I19" s="51" t="b">
        <x:v>0</x:v>
      </x:c>
      <x:c r="J19" s="51" t="b">
        <x:v>0</x:v>
      </x:c>
      <x:c r="K19" s="51" t="b">
        <x:v>0</x:v>
      </x:c>
      <x:c r="L19" s="51" t="b">
        <x:v>1</x:v>
      </x:c>
      <x:c r="M19" s="51" t="b">
        <x:v>0</x:v>
      </x:c>
      <x:c r="N19" s="51" t="b">
        <x:v>0</x:v>
      </x:c>
    </x:row>
    <x:row r="20">
      <x:c r="A20" t="str">
        <x:v>BAJAJFINSV</x:v>
      </x:c>
      <x:c r="B20" s="52" t="n">
        <x:v>43131</x:v>
      </x:c>
      <x:c r="C20" s="53" t="n">
        <x:v>4812.35</x:v>
      </x:c>
      <x:c r="D20" s="46" t="n">
        <x:v>0.08791962346878335</x:v>
      </x:c>
      <x:c r="E20" s="46" t="n">
        <x:v>0.06607998171371565</x:v>
      </x:c>
      <x:c r="F20" t="n">
        <x:v>8</x:v>
      </x:c>
      <x:c r="G20" s="51" t="b">
        <x:v>0</x:v>
      </x:c>
      <x:c r="H20" s="51" t="b">
        <x:v>0</x:v>
      </x:c>
      <x:c r="I20" s="51" t="b">
        <x:v>0</x:v>
      </x:c>
      <x:c r="J20" s="51" t="b">
        <x:v>0</x:v>
      </x:c>
      <x:c r="K20" s="51" t="b">
        <x:v>0</x:v>
      </x:c>
      <x:c r="L20" s="51" t="b">
        <x:v>0</x:v>
      </x:c>
      <x:c r="M20" s="51" t="b">
        <x:v>1</x:v>
      </x:c>
      <x:c r="N20" s="51" t="b">
        <x:v>1</x:v>
      </x:c>
    </x:row>
    <x:row r="21">
      <x:c r="A21" t="str">
        <x:v>BAJAJFINSV</x:v>
      </x:c>
      <x:c r="B21" s="52" t="n">
        <x:v>43178</x:v>
      </x:c>
      <x:c r="C21" s="53" t="n">
        <x:v>4963.45</x:v>
      </x:c>
      <x:c r="D21" s="46" t="n">
        <x:v>0.08424583706897426</x:v>
      </x:c>
      <x:c r="E21" s="46" t="n">
        <x:v>0.05341043024509173</x:v>
      </x:c>
      <x:c r="F21" t="n">
        <x:v>9</x:v>
      </x:c>
      <x:c r="G21" s="51" t="b">
        <x:v>0</x:v>
      </x:c>
      <x:c r="H21" s="51" t="b">
        <x:v>0</x:v>
      </x:c>
      <x:c r="I21" s="51" t="b">
        <x:v>0</x:v>
      </x:c>
      <x:c r="J21" s="51" t="b">
        <x:v>0</x:v>
      </x:c>
      <x:c r="K21" s="51" t="b">
        <x:v>0</x:v>
      </x:c>
      <x:c r="L21" s="51" t="b">
        <x:v>1</x:v>
      </x:c>
      <x:c r="M21" s="51" t="b">
        <x:v>0</x:v>
      </x:c>
      <x:c r="N21" s="51" t="b">
        <x:v>1</x:v>
      </x:c>
    </x:row>
    <x:row r="22">
      <x:c r="A22" t="str">
        <x:v>BAJAJFINSV</x:v>
      </x:c>
      <x:c r="B22" s="52" t="n">
        <x:v>43228</x:v>
      </x:c>
      <x:c r="C22" s="53" t="n">
        <x:v>5340.7</x:v>
      </x:c>
      <x:c r="D22" s="46" t="n">
        <x:v>0.11816803040799906</x:v>
      </x:c>
      <x:c r="E22" s="46" t="n">
        <x:v>0.11816803040799906</x:v>
      </x:c>
      <x:c r="F22" t="n">
        <x:v>10</x:v>
      </x:c>
      <x:c r="G22" s="51" t="b">
        <x:v>0</x:v>
      </x:c>
      <x:c r="H22" s="51" t="b">
        <x:v>0</x:v>
      </x:c>
      <x:c r="I22" s="51" t="b">
        <x:v>0</x:v>
      </x:c>
      <x:c r="J22" s="51" t="b">
        <x:v>0</x:v>
      </x:c>
      <x:c r="K22" s="51" t="b">
        <x:v>0</x:v>
      </x:c>
      <x:c r="L22" s="51" t="b">
        <x:v>0</x:v>
      </x:c>
      <x:c r="M22" s="51" t="b">
        <x:v>1</x:v>
      </x:c>
      <x:c r="N22" s="51" t="b">
        <x:v>1</x:v>
      </x:c>
    </x:row>
    <x:row r="23">
      <x:c r="A23" t="str">
        <x:v>BAJAJFINSV</x:v>
      </x:c>
      <x:c r="B23" s="52" t="n">
        <x:v>43280</x:v>
      </x:c>
      <x:c r="C23" s="53" t="n">
        <x:v>5821.1</x:v>
      </x:c>
      <x:c r="D23" s="46" t="n">
        <x:v>0.086469911185171</x:v>
      </x:c>
      <x:c r="E23" s="46" t="n">
        <x:v>0.086469911185171</x:v>
      </x:c>
      <x:c r="F23" t="n">
        <x:v>10</x:v>
      </x:c>
      <x:c r="G23" s="51" t="b">
        <x:v>0</x:v>
      </x:c>
      <x:c r="H23" s="51" t="b">
        <x:v>0</x:v>
      </x:c>
      <x:c r="I23" s="51" t="b">
        <x:v>0</x:v>
      </x:c>
      <x:c r="J23" s="51" t="b">
        <x:v>0</x:v>
      </x:c>
      <x:c r="K23" s="51" t="b">
        <x:v>0</x:v>
      </x:c>
      <x:c r="L23" s="51" t="b">
        <x:v>0</x:v>
      </x:c>
      <x:c r="M23" s="51" t="b">
        <x:v>0</x:v>
      </x:c>
      <x:c r="N23" s="51" t="b">
        <x:v>1</x:v>
      </x:c>
    </x:row>
    <x:row r="24">
      <x:c r="A24" t="str">
        <x:v>BAJAJFINSV</x:v>
      </x:c>
      <x:c r="B24" s="52" t="n">
        <x:v>43378</x:v>
      </x:c>
      <x:c r="C24" s="53" t="n">
        <x:v>5375.65</x:v>
      </x:c>
      <x:c r="D24" s="46" t="n">
        <x:v>0.10898216959809526</x:v>
      </x:c>
      <x:c r="E24" s="46" t="n">
        <x:v>-0.023336712769618573</x:v>
      </x:c>
      <x:c r="F24" t="n">
        <x:v>3</x:v>
      </x:c>
      <x:c r="G24" s="51" t="b">
        <x:v>0</x:v>
      </x:c>
      <x:c r="H24" s="51" t="b">
        <x:v>0</x:v>
      </x:c>
      <x:c r="I24" s="51" t="b">
        <x:v>0</x:v>
      </x:c>
      <x:c r="J24" s="51" t="b">
        <x:v>0</x:v>
      </x:c>
      <x:c r="K24" s="51" t="b">
        <x:v>0</x:v>
      </x:c>
      <x:c r="L24" s="51" t="b">
        <x:v>0</x:v>
      </x:c>
      <x:c r="M24" s="51" t="b">
        <x:v>0</x:v>
      </x:c>
      <x:c r="N24" s="51" t="b">
        <x:v>1</x:v>
      </x:c>
    </x:row>
    <x:row r="25">
      <x:c r="A25" t="str">
        <x:v>BAJAJFINSV</x:v>
      </x:c>
      <x:c r="B25" s="52" t="n">
        <x:v>43396</x:v>
      </x:c>
      <x:c r="C25" s="53" t="n">
        <x:v>5167.75</x:v>
      </x:c>
      <x:c r="D25" s="46" t="n">
        <x:v>0.08190218180059028</x:v>
      </x:c>
      <x:c r="E25" s="46" t="n">
        <x:v>0.08190218180059028</x:v>
      </x:c>
      <x:c r="F25" t="n">
        <x:v>10</x:v>
      </x:c>
      <x:c r="G25" s="51" t="b">
        <x:v>0</x:v>
      </x:c>
      <x:c r="H25" s="51" t="b">
        <x:v>0</x:v>
      </x:c>
      <x:c r="I25" s="51" t="b">
        <x:v>0</x:v>
      </x:c>
      <x:c r="J25" s="51" t="b">
        <x:v>0</x:v>
      </x:c>
      <x:c r="K25" s="51" t="b">
        <x:v>0</x:v>
      </x:c>
      <x:c r="L25" s="51" t="b">
        <x:v>0</x:v>
      </x:c>
      <x:c r="M25" s="51" t="b">
        <x:v>0</x:v>
      </x:c>
      <x:c r="N25" s="51" t="b">
        <x:v>1</x:v>
      </x:c>
    </x:row>
    <x:row r="26">
      <x:c r="A26" t="str">
        <x:v>BAJAJFINSV</x:v>
      </x:c>
      <x:c r="B26" s="52" t="n">
        <x:v>43439</x:v>
      </x:c>
      <x:c r="C26" s="53" t="n">
        <x:v>5902.5</x:v>
      </x:c>
      <x:c r="D26" s="46" t="n">
        <x:v>0.0852096569250318</x:v>
      </x:c>
      <x:c r="E26" s="46" t="n">
        <x:v>0.0852096569250318</x:v>
      </x:c>
      <x:c r="F26" t="n">
        <x:v>10</x:v>
      </x:c>
      <x:c r="G26" s="51" t="b">
        <x:v>0</x:v>
      </x:c>
      <x:c r="H26" s="51" t="b">
        <x:v>0</x:v>
      </x:c>
      <x:c r="I26" s="51" t="b">
        <x:v>0</x:v>
      </x:c>
      <x:c r="J26" s="51" t="b">
        <x:v>0</x:v>
      </x:c>
      <x:c r="K26" s="51" t="b">
        <x:v>1</x:v>
      </x:c>
      <x:c r="L26" s="51" t="b">
        <x:v>1</x:v>
      </x:c>
      <x:c r="M26" s="51" t="b">
        <x:v>0</x:v>
      </x:c>
      <x:c r="N26" s="51" t="b">
        <x:v>1</x:v>
      </x:c>
    </x:row>
    <x:row r="27">
      <x:c r="A27" t="str">
        <x:v>BAJAJFINSV</x:v>
      </x:c>
      <x:c r="B27" s="52" t="n">
        <x:v>43514</x:v>
      </x:c>
      <x:c r="C27" s="53" t="n">
        <x:v>5885.15</x:v>
      </x:c>
      <x:c r="D27" s="46" t="n">
        <x:v>0.11190878737160492</x:v>
      </x:c>
      <x:c r="E27" s="46" t="n">
        <x:v>0.11190878737160492</x:v>
      </x:c>
      <x:c r="F27" t="n">
        <x:v>6</x:v>
      </x:c>
      <x:c r="G27" s="51" t="b">
        <x:v>0</x:v>
      </x:c>
      <x:c r="H27" s="51" t="b">
        <x:v>0</x:v>
      </x:c>
      <x:c r="I27" s="51" t="b">
        <x:v>0</x:v>
      </x:c>
      <x:c r="J27" s="51" t="b">
        <x:v>0</x:v>
      </x:c>
      <x:c r="K27" s="51" t="b">
        <x:v>0</x:v>
      </x:c>
      <x:c r="L27" s="51" t="b">
        <x:v>0</x:v>
      </x:c>
      <x:c r="M27" s="51" t="b">
        <x:v>0</x:v>
      </x:c>
      <x:c r="N27" s="51" t="b">
        <x:v>1</x:v>
      </x:c>
    </x:row>
    <x:row r="28">
      <x:c r="A28" t="str">
        <x:v>BAJAJFINSV</x:v>
      </x:c>
      <x:c r="B28" s="52" t="n">
        <x:v>43552</x:v>
      </x:c>
      <x:c r="C28" s="53" t="n">
        <x:v>6952.55</x:v>
      </x:c>
      <x:c r="D28" s="46" t="n">
        <x:v>0.08776635910565189</x:v>
      </x:c>
      <x:c r="E28" s="46" t="n">
        <x:v>0.08776635910565189</x:v>
      </x:c>
      <x:c r="F28" t="n">
        <x:v>10</x:v>
      </x:c>
      <x:c r="G28" s="51" t="b">
        <x:v>0</x:v>
      </x:c>
      <x:c r="H28" s="51" t="b">
        <x:v>0</x:v>
      </x:c>
      <x:c r="I28" s="51" t="b">
        <x:v>0</x:v>
      </x:c>
      <x:c r="J28" s="51" t="b">
        <x:v>0</x:v>
      </x:c>
      <x:c r="K28" s="51" t="b">
        <x:v>0</x:v>
      </x:c>
      <x:c r="L28" s="51" t="b">
        <x:v>1</x:v>
      </x:c>
      <x:c r="M28" s="51" t="b">
        <x:v>1</x:v>
      </x:c>
      <x:c r="N28" s="51" t="b">
        <x:v>1</x:v>
      </x:c>
    </x:row>
    <x:row r="29">
      <x:c r="A29" t="str">
        <x:v>BAJAJFINSV</x:v>
      </x:c>
      <x:c r="B29" s="52" t="n">
        <x:v>43592</x:v>
      </x:c>
      <x:c r="C29" s="53" t="n">
        <x:v>7561.95</x:v>
      </x:c>
      <x:c r="D29" s="46" t="n">
        <x:v>0.08900482018526978</x:v>
      </x:c>
      <x:c r="E29" s="46" t="n">
        <x:v>0.0824456654698853</x:v>
      </x:c>
      <x:c r="F29" t="n">
        <x:v>9</x:v>
      </x:c>
      <x:c r="G29" s="51" t="b">
        <x:v>0</x:v>
      </x:c>
      <x:c r="H29" s="51" t="b">
        <x:v>0</x:v>
      </x:c>
      <x:c r="I29" s="51" t="b">
        <x:v>0</x:v>
      </x:c>
      <x:c r="J29" s="51" t="b">
        <x:v>0</x:v>
      </x:c>
      <x:c r="K29" s="51" t="b">
        <x:v>1</x:v>
      </x:c>
      <x:c r="L29" s="51" t="b">
        <x:v>0</x:v>
      </x:c>
      <x:c r="M29" s="51" t="b">
        <x:v>1</x:v>
      </x:c>
      <x:c r="N29" s="51" t="b">
        <x:v>0</x:v>
      </x:c>
    </x:row>
    <x:row r="30">
      <x:c r="A30" t="str">
        <x:v>BAJAJFINSV</x:v>
      </x:c>
      <x:c r="B30" s="52" t="n">
        <x:v>43713</x:v>
      </x:c>
      <x:c r="C30" s="53" t="n">
        <x:v>7001.05</x:v>
      </x:c>
      <x:c r="D30" s="46" t="n">
        <x:v>0.09892801794016615</x:v>
      </x:c>
      <x:c r="E30" s="46" t="n">
        <x:v>0.09892801794016615</x:v>
      </x:c>
      <x:c r="F30" t="n">
        <x:v>10</x:v>
      </x:c>
      <x:c r="G30" s="51" t="b">
        <x:v>0</x:v>
      </x:c>
      <x:c r="H30" s="51" t="b">
        <x:v>0</x:v>
      </x:c>
      <x:c r="I30" s="51" t="b">
        <x:v>0</x:v>
      </x:c>
      <x:c r="J30" s="51" t="b">
        <x:v>0</x:v>
      </x:c>
      <x:c r="K30" s="51" t="b">
        <x:v>0</x:v>
      </x:c>
      <x:c r="L30" s="51" t="b">
        <x:v>0</x:v>
      </x:c>
      <x:c r="M30" s="51" t="b">
        <x:v>0</x:v>
      </x:c>
      <x:c r="N30" s="51" t="b">
        <x:v>1</x:v>
      </x:c>
    </x:row>
    <x:row r="31">
      <x:c r="A31" t="str">
        <x:v>BAJAJFINSV</x:v>
      </x:c>
      <x:c r="B31" s="52" t="n">
        <x:v>43760</x:v>
      </x:c>
      <x:c r="C31" s="53" t="n">
        <x:v>8008.85</x:v>
      </x:c>
      <x:c r="D31" s="46" t="n">
        <x:v>0.10449690030403858</x:v>
      </x:c>
      <x:c r="E31" s="46" t="n">
        <x:v>0.10449690030403858</x:v>
      </x:c>
      <x:c r="F31" t="n">
        <x:v>9</x:v>
      </x:c>
      <x:c r="G31" s="51" t="b">
        <x:v>0</x:v>
      </x:c>
      <x:c r="H31" s="51" t="b">
        <x:v>0</x:v>
      </x:c>
      <x:c r="I31" s="51" t="b">
        <x:v>0</x:v>
      </x:c>
      <x:c r="J31" s="51" t="b">
        <x:v>0</x:v>
      </x:c>
      <x:c r="K31" s="51" t="b">
        <x:v>0</x:v>
      </x:c>
      <x:c r="L31" s="51" t="b">
        <x:v>1</x:v>
      </x:c>
      <x:c r="M31" s="51" t="b">
        <x:v>0</x:v>
      </x:c>
      <x:c r="N31" s="51" t="b">
        <x:v>1</x:v>
      </x:c>
    </x:row>
    <x:row r="32">
      <x:c r="A32" t="str">
        <x:v>BAJAJFINSV</x:v>
      </x:c>
      <x:c r="B32" s="52" t="n">
        <x:v>43862</x:v>
      </x:c>
      <x:c r="C32" s="53" t="n">
        <x:v>8947.4</x:v>
      </x:c>
      <x:c r="D32" s="46" t="n">
        <x:v>0.09214408655028294</x:v>
      </x:c>
      <x:c r="E32" s="46" t="n">
        <x:v>0.08305205981625963</x:v>
      </x:c>
      <x:c r="F32" t="n">
        <x:v>7</x:v>
      </x:c>
      <x:c r="G32" s="51" t="b">
        <x:v>0</x:v>
      </x:c>
      <x:c r="H32" s="51" t="b">
        <x:v>0</x:v>
      </x:c>
      <x:c r="I32" s="51" t="b">
        <x:v>0</x:v>
      </x:c>
      <x:c r="J32" s="51" t="b">
        <x:v>0</x:v>
      </x:c>
      <x:c r="K32" s="51" t="b">
        <x:v>0</x:v>
      </x:c>
      <x:c r="L32" s="51" t="b">
        <x:v>0</x:v>
      </x:c>
      <x:c r="M32" s="51" t="b">
        <x:v>0</x:v>
      </x:c>
      <x:c r="N32" s="51" t="b">
        <x:v>1</x:v>
      </x:c>
    </x:row>
    <x:row r="33">
      <x:c r="A33" t="str">
        <x:v>BAJAJFINSV</x:v>
      </x:c>
      <x:c r="B33" s="52" t="n">
        <x:v>43913</x:v>
      </x:c>
      <x:c r="C33" s="53" t="n">
        <x:v>4621.05</x:v>
      </x:c>
      <x:c r="D33" s="46" t="n">
        <x:v>0.11387022429967208</x:v>
      </x:c>
      <x:c r="E33" s="46" t="n">
        <x:v>-0.002715832981681654</x:v>
      </x:c>
      <x:c r="F33" t="n">
        <x:v>3</x:v>
      </x:c>
      <x:c r="G33" s="51" t="b">
        <x:v>0</x:v>
      </x:c>
      <x:c r="H33" s="51" t="b">
        <x:v>0</x:v>
      </x:c>
      <x:c r="I33" s="51" t="b">
        <x:v>0</x:v>
      </x:c>
      <x:c r="J33" s="51" t="b">
        <x:v>0</x:v>
      </x:c>
      <x:c r="K33" s="51" t="b">
        <x:v>0</x:v>
      </x:c>
      <x:c r="L33" s="51" t="b">
        <x:v>1</x:v>
      </x:c>
      <x:c r="M33" s="51" t="b">
        <x:v>0</x:v>
      </x:c>
      <x:c r="N33" s="51" t="b">
        <x:v>0</x:v>
      </x:c>
    </x:row>
    <x:row r="34">
      <x:c r="A34" t="str">
        <x:v>BAJAJFINSV</x:v>
      </x:c>
      <x:c r="B34" s="52" t="n">
        <x:v>43969</x:v>
      </x:c>
      <x:c r="C34" s="53" t="n">
        <x:v>4465.45</x:v>
      </x:c>
      <x:c r="D34" s="46" t="n">
        <x:v>0.16106999294583968</x:v>
      </x:c>
      <x:c r="E34" s="46" t="n">
        <x:v>0.16106999294583968</x:v>
      </x:c>
      <x:c r="F34" t="n">
        <x:v>10</x:v>
      </x:c>
      <x:c r="G34" s="51" t="b">
        <x:v>0</x:v>
      </x:c>
      <x:c r="H34" s="51" t="b">
        <x:v>0</x:v>
      </x:c>
      <x:c r="I34" s="51" t="b">
        <x:v>0</x:v>
      </x:c>
      <x:c r="J34" s="51" t="b">
        <x:v>0</x:v>
      </x:c>
      <x:c r="K34" s="51" t="b">
        <x:v>0</x:v>
      </x:c>
      <x:c r="L34" s="51" t="b">
        <x:v>0</x:v>
      </x:c>
      <x:c r="M34" s="51" t="b">
        <x:v>0</x:v>
      </x:c>
      <x:c r="N34" s="51" t="b">
        <x:v>0</x:v>
      </x:c>
    </x:row>
    <x:row r="35">
      <x:c r="A35" t="str">
        <x:v>BAJAJFINSV</x:v>
      </x:c>
      <x:c r="B35" s="52" t="n">
        <x:v>44098</x:v>
      </x:c>
      <x:c r="C35" s="53" t="n">
        <x:v>5425.7</x:v>
      </x:c>
      <x:c r="D35" s="46" t="n">
        <x:v>0.11572700296735916</x:v>
      </x:c>
      <x:c r="E35" s="46" t="n">
        <x:v>0.0902187736144644</x:v>
      </x:c>
      <x:c r="F35" t="n">
        <x:v>2</x:v>
      </x:c>
      <x:c r="G35" s="51" t="b">
        <x:v>0</x:v>
      </x:c>
      <x:c r="H35" s="51" t="b">
        <x:v>0</x:v>
      </x:c>
      <x:c r="I35" s="51" t="b">
        <x:v>0</x:v>
      </x:c>
      <x:c r="J35" s="51" t="b">
        <x:v>0</x:v>
      </x:c>
      <x:c r="K35" s="51" t="b">
        <x:v>0</x:v>
      </x:c>
      <x:c r="L35" s="51" t="b">
        <x:v>1</x:v>
      </x:c>
      <x:c r="M35" s="51" t="b">
        <x:v>0</x:v>
      </x:c>
      <x:c r="N35" s="51" t="b">
        <x:v>0</x:v>
      </x:c>
    </x:row>
    <x:row r="36">
      <x:c r="A36" t="str">
        <x:v>BAJAJFINSV</x:v>
      </x:c>
      <x:c r="B36" s="52" t="n">
        <x:v>44130</x:v>
      </x:c>
      <x:c r="C36" s="53" t="n">
        <x:v>5700.95</x:v>
      </x:c>
      <x:c r="D36" s="46" t="n">
        <x:v>0.10270218121541141</x:v>
      </x:c>
      <x:c r="E36" s="46" t="n">
        <x:v>0.10215841219445898</x:v>
      </x:c>
      <x:c r="F36" t="n">
        <x:v>9</x:v>
      </x:c>
      <x:c r="G36" s="51" t="b">
        <x:v>0</x:v>
      </x:c>
      <x:c r="H36" s="51" t="b">
        <x:v>0</x:v>
      </x:c>
      <x:c r="I36" s="51" t="b">
        <x:v>0</x:v>
      </x:c>
      <x:c r="J36" s="51" t="b">
        <x:v>0</x:v>
      </x:c>
      <x:c r="K36" s="51" t="b">
        <x:v>0</x:v>
      </x:c>
      <x:c r="L36" s="51" t="b">
        <x:v>1</x:v>
      </x:c>
      <x:c r="M36" s="51" t="b">
        <x:v>1</x:v>
      </x:c>
      <x:c r="N36" s="51" t="b">
        <x:v>0</x:v>
      </x:c>
    </x:row>
    <x:row r="37">
      <x:c r="A37" t="str">
        <x:v>BAJAJFINSV</x:v>
      </x:c>
      <x:c r="B37" s="52" t="n">
        <x:v>44211</x:v>
      </x:c>
      <x:c r="C37" s="53" t="n">
        <x:v>8636.1</x:v>
      </x:c>
      <x:c r="D37" s="46" t="n">
        <x:v>0.12571646923958713</x:v>
      </x:c>
      <x:c r="E37" s="46" t="n">
        <x:v>0.12571646923958713</x:v>
      </x:c>
      <x:c r="F37" t="n">
        <x:v>10</x:v>
      </x:c>
      <x:c r="G37" s="51" t="b">
        <x:v>0</x:v>
      </x:c>
      <x:c r="H37" s="51" t="b">
        <x:v>0</x:v>
      </x:c>
      <x:c r="I37" s="51" t="b">
        <x:v>0</x:v>
      </x:c>
      <x:c r="J37" s="51" t="b">
        <x:v>0</x:v>
      </x:c>
      <x:c r="K37" s="51" t="b">
        <x:v>0</x:v>
      </x:c>
      <x:c r="L37" s="51" t="b">
        <x:v>0</x:v>
      </x:c>
      <x:c r="M37" s="51" t="b">
        <x:v>1</x:v>
      </x:c>
      <x:c r="N37" s="51" t="b">
        <x:v>0</x:v>
      </x:c>
    </x:row>
    <x:row r="38">
      <x:c r="A38" t="str">
        <x:v>BAJFINANCE</x:v>
      </x:c>
      <x:c r="B38" s="52" t="n">
        <x:v>44356</x:v>
      </x:c>
      <x:c r="C38" s="53" t="n">
        <x:v>5674.5</x:v>
      </x:c>
      <x:c r="D38" s="46" t="n">
        <x:v>0.09157635033923683</x:v>
      </x:c>
      <x:c r="E38" s="46" t="n">
        <x:v>0.060111022997620944</x:v>
      </x:c>
      <x:c r="F38" t="n">
        <x:v>3</x:v>
      </x:c>
      <x:c r="G38" s="51" t="b">
        <x:v>0</x:v>
      </x:c>
      <x:c r="H38" s="51" t="b">
        <x:v>0</x:v>
      </x:c>
      <x:c r="I38" s="51" t="b">
        <x:v>0</x:v>
      </x:c>
      <x:c r="J38" s="51" t="b">
        <x:v>0</x:v>
      </x:c>
      <x:c r="K38" s="51" t="b">
        <x:v>0</x:v>
      </x:c>
      <x:c r="L38" s="51" t="b">
        <x:v>0</x:v>
      </x:c>
      <x:c r="M38" s="51" t="b">
        <x:v>1</x:v>
      </x:c>
      <x:c r="N38" s="51" t="b">
        <x:v>1</x:v>
      </x:c>
    </x:row>
    <x:row r="39">
      <x:c r="A39" t="str">
        <x:v>BAJFINANCE</x:v>
      </x:c>
      <x:c r="B39" s="52" t="n">
        <x:v>44414</x:v>
      </x:c>
      <x:c r="C39" s="53" t="n">
        <x:v>6224.3</x:v>
      </x:c>
      <x:c r="D39" s="46" t="n">
        <x:v>0.0848127500281155</x:v>
      </x:c>
      <x:c r="E39" s="46" t="n">
        <x:v>0.0848127500281155</x:v>
      </x:c>
      <x:c r="F39" t="n">
        <x:v>10</x:v>
      </x:c>
      <x:c r="G39" s="51" t="b">
        <x:v>0</x:v>
      </x:c>
      <x:c r="H39" s="51" t="b">
        <x:v>0</x:v>
      </x:c>
      <x:c r="I39" s="51" t="b">
        <x:v>0</x:v>
      </x:c>
      <x:c r="J39" s="51" t="b">
        <x:v>0</x:v>
      </x:c>
      <x:c r="K39" s="51" t="b">
        <x:v>0</x:v>
      </x:c>
      <x:c r="L39" s="51" t="b">
        <x:v>0</x:v>
      </x:c>
      <x:c r="M39" s="51" t="b">
        <x:v>1</x:v>
      </x:c>
      <x:c r="N39" s="51" t="b">
        <x:v>1</x:v>
      </x:c>
    </x:row>
    <x:row r="40">
      <x:c r="A40" t="str">
        <x:v>BAJFINANCE</x:v>
      </x:c>
      <x:c r="B40" s="52" t="n">
        <x:v>44526</x:v>
      </x:c>
      <x:c r="C40" s="53" t="n">
        <x:v>6807.05</x:v>
      </x:c>
      <x:c r="D40" s="46" t="n">
        <x:v>0.09482081077706206</x:v>
      </x:c>
      <x:c r="E40" s="46" t="n">
        <x:v>0.09482081077706206</x:v>
      </x:c>
      <x:c r="F40" t="n">
        <x:v>8</x:v>
      </x:c>
      <x:c r="G40" s="51" t="b">
        <x:v>0</x:v>
      </x:c>
      <x:c r="H40" s="51" t="b">
        <x:v>0</x:v>
      </x:c>
      <x:c r="I40" s="51" t="b">
        <x:v>0</x:v>
      </x:c>
      <x:c r="J40" s="51" t="b">
        <x:v>0</x:v>
      </x:c>
      <x:c r="K40" s="51" t="b">
        <x:v>0</x:v>
      </x:c>
      <x:c r="L40" s="51" t="b">
        <x:v>1</x:v>
      </x:c>
      <x:c r="M40" s="51" t="b">
        <x:v>1</x:v>
      </x:c>
      <x:c r="N40" s="51" t="b">
        <x:v>0</x:v>
      </x:c>
    </x:row>
    <x:row r="41">
      <x:c r="A41" t="str">
        <x:v>BAJFINANCE</x:v>
      </x:c>
      <x:c r="B41" s="52" t="n">
        <x:v>44550</x:v>
      </x:c>
      <x:c r="C41" s="53" t="n">
        <x:v>6634.15</x:v>
      </x:c>
      <x:c r="D41" s="46" t="n">
        <x:v>0.0882479292750391</x:v>
      </x:c>
      <x:c r="E41" s="46" t="n">
        <x:v>0.0882479292750391</x:v>
      </x:c>
      <x:c r="F41" t="n">
        <x:v>10</x:v>
      </x:c>
      <x:c r="G41" s="51" t="b">
        <x:v>0</x:v>
      </x:c>
      <x:c r="H41" s="51" t="b">
        <x:v>0</x:v>
      </x:c>
      <x:c r="I41" s="51" t="b">
        <x:v>0</x:v>
      </x:c>
      <x:c r="J41" s="51" t="b">
        <x:v>0</x:v>
      </x:c>
      <x:c r="K41" s="51" t="b">
        <x:v>0</x:v>
      </x:c>
      <x:c r="L41" s="51" t="b">
        <x:v>0</x:v>
      </x:c>
      <x:c r="M41" s="51" t="b">
        <x:v>1</x:v>
      </x:c>
      <x:c r="N41" s="51" t="b">
        <x:v>1</x:v>
      </x:c>
    </x:row>
    <x:row r="42">
      <x:c r="A42" t="str">
        <x:v>BAJFINANCE</x:v>
      </x:c>
      <x:c r="B42" s="52" t="n">
        <x:v>44627</x:v>
      </x:c>
      <x:c r="C42" s="53" t="n">
        <x:v>6125</x:v>
      </x:c>
      <x:c r="D42" s="46" t="n">
        <x:v>0.14194285714285715</x:v>
      </x:c>
      <x:c r="E42" s="46" t="n">
        <x:v>0.1405387755102041</x:v>
      </x:c>
      <x:c r="F42" t="n">
        <x:v>4</x:v>
      </x:c>
      <x:c r="G42" s="51" t="b">
        <x:v>0</x:v>
      </x:c>
      <x:c r="H42" s="51" t="b">
        <x:v>0</x:v>
      </x:c>
      <x:c r="I42" s="51" t="b">
        <x:v>0</x:v>
      </x:c>
      <x:c r="J42" s="51" t="b">
        <x:v>0</x:v>
      </x:c>
      <x:c r="K42" s="51" t="b">
        <x:v>0</x:v>
      </x:c>
      <x:c r="L42" s="51" t="b">
        <x:v>1</x:v>
      </x:c>
      <x:c r="M42" s="51" t="b">
        <x:v>0</x:v>
      </x:c>
      <x:c r="N42" s="51" t="b">
        <x:v>0</x:v>
      </x:c>
    </x:row>
    <x:row r="43">
      <x:c r="A43" t="str">
        <x:v>BAJFINANCE</x:v>
      </x:c>
      <x:c r="B43" s="52" t="n">
        <x:v>44694</x:v>
      </x:c>
      <x:c r="C43" s="53" t="n">
        <x:v>5515.75</x:v>
      </x:c>
      <x:c r="D43" s="46" t="n">
        <x:v>0.08661560077958574</x:v>
      </x:c>
      <x:c r="E43" s="46" t="n">
        <x:v>0.08661560077958574</x:v>
      </x:c>
      <x:c r="F43" t="n">
        <x:v>10</x:v>
      </x:c>
      <x:c r="G43" s="51" t="b">
        <x:v>0</x:v>
      </x:c>
      <x:c r="H43" s="51" t="b">
        <x:v>0</x:v>
      </x:c>
      <x:c r="I43" s="51" t="b">
        <x:v>0</x:v>
      </x:c>
      <x:c r="J43" s="51" t="b">
        <x:v>0</x:v>
      </x:c>
      <x:c r="K43" s="51" t="b">
        <x:v>0</x:v>
      </x:c>
      <x:c r="L43" s="51" t="b">
        <x:v>0</x:v>
      </x:c>
      <x:c r="M43" s="51" t="b">
        <x:v>0</x:v>
      </x:c>
      <x:c r="N43" s="51" t="b">
        <x:v>0</x:v>
      </x:c>
    </x:row>
    <x:row r="44">
      <x:c r="A44" t="str">
        <x:v>BAJFINANCE</x:v>
      </x:c>
      <x:c r="B44" s="52" t="n">
        <x:v>44734</x:v>
      </x:c>
      <x:c r="C44" s="53" t="n">
        <x:v>5439.6</x:v>
      </x:c>
      <x:c r="D44" s="46" t="n">
        <x:v>0.08770865504816516</x:v>
      </x:c>
      <x:c r="E44" s="46" t="n">
        <x:v>0.08770865504816516</x:v>
      </x:c>
      <x:c r="F44" t="n">
        <x:v>10</x:v>
      </x:c>
      <x:c r="G44" s="51" t="b">
        <x:v>0</x:v>
      </x:c>
      <x:c r="H44" s="51" t="b">
        <x:v>0</x:v>
      </x:c>
      <x:c r="I44" s="51" t="b">
        <x:v>0</x:v>
      </x:c>
      <x:c r="J44" s="51" t="b">
        <x:v>0</x:v>
      </x:c>
      <x:c r="K44" s="51" t="b">
        <x:v>0</x:v>
      </x:c>
      <x:c r="L44" s="51" t="b">
        <x:v>0</x:v>
      </x:c>
      <x:c r="M44" s="51" t="b">
        <x:v>0</x:v>
      </x:c>
      <x:c r="N44" s="51" t="b">
        <x:v>0</x:v>
      </x:c>
    </x:row>
    <x:row r="45">
      <x:c r="A45" t="str">
        <x:v>BAJFINANCE</x:v>
      </x:c>
      <x:c r="B45" s="52" t="n">
        <x:v>44755</x:v>
      </x:c>
      <x:c r="C45" s="53" t="n">
        <x:v>5878.9</x:v>
      </x:c>
      <x:c r="D45" s="46" t="n">
        <x:v>0.08801816666383178</x:v>
      </x:c>
      <x:c r="E45" s="46" t="n">
        <x:v>0.08801816666383178</x:v>
      </x:c>
      <x:c r="F45" t="n">
        <x:v>10</x:v>
      </x:c>
      <x:c r="G45" s="51" t="b">
        <x:v>0</x:v>
      </x:c>
      <x:c r="H45" s="51" t="b">
        <x:v>0</x:v>
      </x:c>
      <x:c r="I45" s="51" t="b">
        <x:v>0</x:v>
      </x:c>
      <x:c r="J45" s="51" t="b">
        <x:v>0</x:v>
      </x:c>
      <x:c r="K45" s="51" t="b">
        <x:v>0</x:v>
      </x:c>
      <x:c r="L45" s="51" t="b">
        <x:v>0</x:v>
      </x:c>
      <x:c r="M45" s="51" t="b">
        <x:v>0</x:v>
      </x:c>
      <x:c r="N45" s="51" t="b">
        <x:v>1</x:v>
      </x:c>
    </x:row>
    <x:row r="46">
      <x:c r="A46" t="str">
        <x:v>BAJFINANCE</x:v>
      </x:c>
      <x:c r="B46" s="52" t="n">
        <x:v>44950</x:v>
      </x:c>
      <x:c r="C46" s="53" t="n">
        <x:v>5855.05</x:v>
      </x:c>
      <x:c r="D46" s="46" t="n">
        <x:v>0.08481567194131556</x:v>
      </x:c>
      <x:c r="E46" s="46" t="n">
        <x:v>0.08481567194131556</x:v>
      </x:c>
      <x:c r="F46" t="n">
        <x:v>10</x:v>
      </x:c>
      <x:c r="G46" s="51" t="b">
        <x:v>0</x:v>
      </x:c>
      <x:c r="H46" s="51" t="b">
        <x:v>0</x:v>
      </x:c>
      <x:c r="I46" s="51" t="b">
        <x:v>0</x:v>
      </x:c>
      <x:c r="J46" s="51" t="b">
        <x:v>0</x:v>
      </x:c>
      <x:c r="K46" s="51" t="b">
        <x:v>0</x:v>
      </x:c>
      <x:c r="L46" s="51" t="b">
        <x:v>0</x:v>
      </x:c>
      <x:c r="M46" s="51" t="b">
        <x:v>1</x:v>
      </x:c>
      <x:c r="N46" s="51" t="b">
        <x:v>1</x:v>
      </x:c>
    </x:row>
    <x:row r="47">
      <x:c r="A47" t="str">
        <x:v>BAJFINANCE</x:v>
      </x:c>
      <x:c r="B47" s="52" t="n">
        <x:v>45036</x:v>
      </x:c>
      <x:c r="C47" s="53" t="n">
        <x:v>5912.7</x:v>
      </x:c>
      <x:c r="D47" s="46" t="n">
        <x:v>0.08076682395521506</x:v>
      </x:c>
      <x:c r="E47" s="46" t="n">
        <x:v>0.08069917296666507</x:v>
      </x:c>
      <x:c r="F47" t="n">
        <x:v>9</x:v>
      </x:c>
      <x:c r="G47" s="51" t="b">
        <x:v>0</x:v>
      </x:c>
      <x:c r="H47" s="51" t="b">
        <x:v>0</x:v>
      </x:c>
      <x:c r="I47" s="51" t="b">
        <x:v>0</x:v>
      </x:c>
      <x:c r="J47" s="51" t="b">
        <x:v>0</x:v>
      </x:c>
      <x:c r="K47" s="51" t="b">
        <x:v>0</x:v>
      </x:c>
      <x:c r="L47" s="51" t="b">
        <x:v>0</x:v>
      </x:c>
      <x:c r="M47" s="51" t="b">
        <x:v>0</x:v>
      </x:c>
      <x:c r="N47" s="51" t="b">
        <x:v>1</x:v>
      </x:c>
    </x:row>
    <x:row r="48">
      <x:c r="A48" t="str">
        <x:v>BAJFINANCE</x:v>
      </x:c>
      <x:c r="B48" s="52" t="n">
        <x:v>45097</x:v>
      </x:c>
      <x:c r="C48" s="53" t="n">
        <x:v>7248.8</x:v>
      </x:c>
      <x:c r="D48" s="46" t="n">
        <x:v>0.08437948350071722</x:v>
      </x:c>
      <x:c r="E48" s="46" t="n">
        <x:v>0.08138588456020313</x:v>
      </x:c>
      <x:c r="F48" t="n">
        <x:v>9</x:v>
      </x:c>
      <x:c r="G48" s="51" t="b">
        <x:v>0</x:v>
      </x:c>
      <x:c r="H48" s="51" t="b">
        <x:v>0</x:v>
      </x:c>
      <x:c r="I48" s="51" t="b">
        <x:v>0</x:v>
      </x:c>
      <x:c r="J48" s="51" t="b">
        <x:v>0</x:v>
      </x:c>
      <x:c r="K48" s="51" t="b">
        <x:v>1</x:v>
      </x:c>
      <x:c r="L48" s="51" t="b">
        <x:v>0</x:v>
      </x:c>
      <x:c r="M48" s="51" t="b">
        <x:v>0</x:v>
      </x:c>
      <x:c r="N48" s="51" t="b">
        <x:v>1</x:v>
      </x:c>
    </x:row>
    <x:row r="49">
      <x:c r="A49" t="str">
        <x:v>BAJFINANCE</x:v>
      </x:c>
      <x:c r="B49" s="52" t="n">
        <x:v>45190</x:v>
      </x:c>
      <x:c r="C49" s="53" t="n">
        <x:v>7484.2</x:v>
      </x:c>
      <x:c r="D49" s="46" t="n">
        <x:v>0.0914392987894499</x:v>
      </x:c>
      <x:c r="E49" s="46" t="n">
        <x:v>0.0914392987894499</x:v>
      </x:c>
      <x:c r="F49" t="n">
        <x:v>10</x:v>
      </x:c>
      <x:c r="G49" s="51" t="b">
        <x:v>0</x:v>
      </x:c>
      <x:c r="H49" s="51" t="b">
        <x:v>0</x:v>
      </x:c>
      <x:c r="I49" s="51" t="b">
        <x:v>0</x:v>
      </x:c>
      <x:c r="J49" s="51" t="b">
        <x:v>0</x:v>
      </x:c>
      <x:c r="K49" s="51" t="b">
        <x:v>0</x:v>
      </x:c>
      <x:c r="L49" s="51" t="b">
        <x:v>0</x:v>
      </x:c>
      <x:c r="M49" s="51" t="b">
        <x:v>0</x:v>
      </x:c>
      <x:c r="N49" s="51" t="b">
        <x:v>1</x:v>
      </x:c>
    </x:row>
    <x:row r="50">
      <x:c r="A50" t="str">
        <x:v>BAJFINANCE</x:v>
      </x:c>
      <x:c r="B50" s="52" t="n">
        <x:v>45286</x:v>
      </x:c>
      <x:c r="C50" s="53" t="n">
        <x:v>7162.3</x:v>
      </x:c>
      <x:c r="D50" s="46" t="n">
        <x:v>0.08009996788741036</x:v>
      </x:c>
      <x:c r="E50" s="46" t="n">
        <x:v>0.07862697736760538</x:v>
      </x:c>
      <x:c r="F50" t="n">
        <x:v>9</x:v>
      </x:c>
      <x:c r="G50" s="51" t="b">
        <x:v>0</x:v>
      </x:c>
      <x:c r="H50" s="51" t="b">
        <x:v>0</x:v>
      </x:c>
      <x:c r="I50" s="51" t="b">
        <x:v>0</x:v>
      </x:c>
      <x:c r="J50" s="51" t="b">
        <x:v>0</x:v>
      </x:c>
      <x:c r="K50" s="51" t="b">
        <x:v>0</x:v>
      </x:c>
      <x:c r="L50" s="51" t="b">
        <x:v>0</x:v>
      </x:c>
      <x:c r="M50" s="51" t="b">
        <x:v>0</x:v>
      </x:c>
      <x:c r="N50" s="51" t="b">
        <x:v>1</x:v>
      </x:c>
    </x:row>
    <x:row r="51">
      <x:c r="A51" t="str">
        <x:v>BAJFINANCE</x:v>
      </x:c>
      <x:c r="B51" s="52" t="n">
        <x:v>45363</x:v>
      </x:c>
      <x:c r="C51" s="53" t="n">
        <x:v>6436.05</x:v>
      </x:c>
      <x:c r="D51" s="46" t="n">
        <x:v>0.09115839684278404</x:v>
      </x:c>
      <x:c r="E51" s="46" t="n">
        <x:v>0.09115839684278404</x:v>
      </x:c>
      <x:c r="F51" t="n">
        <x:v>10</x:v>
      </x:c>
      <x:c r="G51" s="51" t="b">
        <x:v>0</x:v>
      </x:c>
      <x:c r="H51" s="51" t="b">
        <x:v>0</x:v>
      </x:c>
      <x:c r="I51" s="51" t="b">
        <x:v>0</x:v>
      </x:c>
      <x:c r="J51" s="51" t="b">
        <x:v>0</x:v>
      </x:c>
      <x:c r="K51" s="51" t="b">
        <x:v>0</x:v>
      </x:c>
      <x:c r="L51" s="51" t="b">
        <x:v>0</x:v>
      </x:c>
      <x:c r="M51" s="51" t="b">
        <x:v>0</x:v>
      </x:c>
      <x:c r="N51" s="51" t="b">
        <x:v>1</x:v>
      </x:c>
    </x:row>
    <x:row r="52">
      <x:c r="A52" t="str">
        <x:v>BAJFINANCE</x:v>
      </x:c>
      <x:c r="B52" s="52" t="n">
        <x:v>45442</x:v>
      </x:c>
      <x:c r="C52" s="53" t="n">
        <x:v>6616.45</x:v>
      </x:c>
      <x:c r="D52" s="46" t="n">
        <x:v>0.10254743858111226</x:v>
      </x:c>
      <x:c r="E52" s="46" t="n">
        <x:v>0.10254743858111226</x:v>
      </x:c>
      <x:c r="F52" t="n">
        <x:v>6</x:v>
      </x:c>
      <x:c r="G52" s="51" t="b">
        <x:v>0</x:v>
      </x:c>
      <x:c r="H52" s="51" t="b">
        <x:v>0</x:v>
      </x:c>
      <x:c r="I52" s="51" t="b">
        <x:v>1</x:v>
      </x:c>
      <x:c r="J52" s="51" t="b">
        <x:v>0</x:v>
      </x:c>
      <x:c r="K52" s="51" t="b">
        <x:v>0</x:v>
      </x:c>
      <x:c r="L52" s="51" t="b">
        <x:v>1</x:v>
      </x:c>
      <x:c r="M52" s="51" t="b">
        <x:v>0</x:v>
      </x:c>
      <x:c r="N52" s="51" t="b">
        <x:v>0</x:v>
      </x:c>
    </x:row>
    <x:row r="53">
      <x:c r="A53" t="str">
        <x:v>BAJFINANCE</x:v>
      </x:c>
      <x:c r="B53" s="52" t="n">
        <x:v>45518</x:v>
      </x:c>
      <x:c r="C53" s="53" t="n">
        <x:v>6458.5</x:v>
      </x:c>
      <x:c r="D53" s="46" t="n">
        <x:v>0.09368274367113116</x:v>
      </x:c>
      <x:c r="E53" s="46" t="n">
        <x:v>0.09368274367113116</x:v>
      </x:c>
      <x:c r="F53" t="n">
        <x:v>10</x:v>
      </x:c>
      <x:c r="G53" s="51" t="b">
        <x:v>0</x:v>
      </x:c>
      <x:c r="H53" s="51" t="b">
        <x:v>0</x:v>
      </x:c>
      <x:c r="I53" s="51" t="b">
        <x:v>0</x:v>
      </x:c>
      <x:c r="J53" s="51" t="b">
        <x:v>0</x:v>
      </x:c>
      <x:c r="K53" s="51" t="b">
        <x:v>0</x:v>
      </x:c>
      <x:c r="L53" s="51" t="b">
        <x:v>0</x:v>
      </x:c>
      <x:c r="M53" s="51" t="b">
        <x:v>0</x:v>
      </x:c>
      <x:c r="N53" s="51" t="b">
        <x:v>0</x:v>
      </x:c>
    </x:row>
    <x:row r="54">
      <x:c r="A54" t="str">
        <x:v>BAJFINANCE</x:v>
      </x:c>
      <x:c r="B54" s="52" t="n">
        <x:v>45624</x:v>
      </x:c>
      <x:c r="C54" s="53" t="n">
        <x:v>6509.4</x:v>
      </x:c>
      <x:c r="D54" s="46" t="n">
        <x:v>0.09469382738808507</x:v>
      </x:c>
      <x:c r="E54" s="46" t="n">
        <x:v>0.09469382738808507</x:v>
      </x:c>
      <x:c r="F54" t="n">
        <x:v>9</x:v>
      </x:c>
      <x:c r="G54" s="51" t="b">
        <x:v>0</x:v>
      </x:c>
      <x:c r="H54" s="51" t="b">
        <x:v>0</x:v>
      </x:c>
      <x:c r="I54" s="51" t="b">
        <x:v>1</x:v>
      </x:c>
      <x:c r="J54" s="51" t="b">
        <x:v>0</x:v>
      </x:c>
      <x:c r="K54" s="51" t="b">
        <x:v>0</x:v>
      </x:c>
      <x:c r="L54" s="51" t="b">
        <x:v>1</x:v>
      </x:c>
      <x:c r="M54" s="51" t="b">
        <x:v>0</x:v>
      </x:c>
      <x:c r="N54" s="51" t="b">
        <x:v>0</x:v>
      </x:c>
    </x:row>
    <x:row r="55">
      <x:c r="A55" t="str">
        <x:v>BAJFINANCE</x:v>
      </x:c>
      <x:c r="B55" s="52" t="n">
        <x:v>45646</x:v>
      </x:c>
      <x:c r="C55" s="53" t="n">
        <x:v>6848.25</x:v>
      </x:c>
      <x:c r="D55" s="46" t="n">
        <x:v>0.08162669295075387</x:v>
      </x:c>
      <x:c r="E55" s="46" t="n">
        <x:v>0.07317197824261679</x:v>
      </x:c>
      <x:c r="F55" t="n">
        <x:v>9</x:v>
      </x:c>
      <x:c r="G55" s="51" t="b">
        <x:v>0</x:v>
      </x:c>
      <x:c r="H55" s="51" t="b">
        <x:v>0</x:v>
      </x:c>
      <x:c r="I55" s="51" t="b">
        <x:v>0</x:v>
      </x:c>
      <x:c r="J55" s="51" t="b">
        <x:v>0</x:v>
      </x:c>
      <x:c r="K55" s="51" t="b">
        <x:v>1</x:v>
      </x:c>
      <x:c r="L55" s="51" t="b">
        <x:v>1</x:v>
      </x:c>
      <x:c r="M55" s="51" t="b">
        <x:v>0</x:v>
      </x:c>
      <x:c r="N55" s="51" t="b">
        <x:v>0</x:v>
      </x:c>
    </x:row>
    <x:row r="56">
      <x:c r="A56" t="str">
        <x:v>BAJFINANCE</x:v>
      </x:c>
      <x:c r="B56" s="52" t="n">
        <x:v>45672</x:v>
      </x:c>
      <x:c r="C56" s="53" t="n">
        <x:v>7177.4</x:v>
      </x:c>
      <x:c r="D56" s="46" t="n">
        <x:v>0.08112269066792988</x:v>
      </x:c>
      <x:c r="E56" s="46" t="n">
        <x:v>0.08112269066792988</x:v>
      </x:c>
      <x:c r="F56" t="n">
        <x:v>10</x:v>
      </x:c>
      <x:c r="G56" s="51" t="b">
        <x:v>0</x:v>
      </x:c>
      <x:c r="H56" s="51" t="b">
        <x:v>0</x:v>
      </x:c>
      <x:c r="I56" s="51" t="b">
        <x:v>0</x:v>
      </x:c>
      <x:c r="J56" s="51" t="b">
        <x:v>0</x:v>
      </x:c>
      <x:c r="K56" s="51" t="b">
        <x:v>1</x:v>
      </x:c>
      <x:c r="L56" s="51" t="b">
        <x:v>0</x:v>
      </x:c>
      <x:c r="M56" s="51" t="b">
        <x:v>0</x:v>
      </x:c>
      <x:c r="N56" s="51" t="b">
        <x:v>0</x:v>
      </x:c>
    </x:row>
    <x:row r="57">
      <x:c r="A57" t="str">
        <x:v>BAJFINANCE</x:v>
      </x:c>
      <x:c r="B57" s="52" t="n">
        <x:v>45723</x:v>
      </x:c>
      <x:c r="C57" s="53" t="n">
        <x:v>8404.5</x:v>
      </x:c>
      <x:c r="D57" s="46" t="n">
        <x:v>0.08156939734665936</x:v>
      </x:c>
      <x:c r="E57" s="46" t="n">
        <x:v>0.08156939734665936</x:v>
      </x:c>
      <x:c r="F57" t="n">
        <x:v>10</x:v>
      </x:c>
      <x:c r="G57" s="51" t="b">
        <x:v>0</x:v>
      </x:c>
      <x:c r="H57" s="51" t="b">
        <x:v>0</x:v>
      </x:c>
      <x:c r="I57" s="51" t="b">
        <x:v>1</x:v>
      </x:c>
      <x:c r="J57" s="51" t="b">
        <x:v>0</x:v>
      </x:c>
      <x:c r="K57" s="51" t="b">
        <x:v>0</x:v>
      </x:c>
      <x:c r="L57" s="51" t="b">
        <x:v>0</x:v>
      </x:c>
      <x:c r="M57" s="51" t="b">
        <x:v>0</x:v>
      </x:c>
      <x:c r="N57" s="51" t="b">
        <x:v>0</x:v>
      </x:c>
    </x:row>
    <x:row r="58">
      <x:c r="A58" t="str">
        <x:v>BAJFINANCE</x:v>
      </x:c>
      <x:c r="B58" s="52" t="n">
        <x:v>45754</x:v>
      </x:c>
      <x:c r="C58" s="53" t="n">
        <x:v>8568</x:v>
      </x:c>
      <x:c r="D58" s="46" t="n">
        <x:v>0.0881185807656395</x:v>
      </x:c>
      <x:c r="E58" s="46" t="n">
        <x:v>0.08555088702147517</x:v>
      </x:c>
      <x:c r="F58" t="n">
        <x:v>7</x:v>
      </x:c>
      <x:c r="G58" s="51" t="b">
        <x:v>0</x:v>
      </x:c>
      <x:c r="H58" s="51" t="b">
        <x:v>0</x:v>
      </x:c>
      <x:c r="I58" s="51" t="b">
        <x:v>0</x:v>
      </x:c>
      <x:c r="J58" s="51" t="b">
        <x:v>0</x:v>
      </x:c>
      <x:c r="K58" s="51" t="b">
        <x:v>1</x:v>
      </x:c>
      <x:c r="L58" s="51" t="b">
        <x:v>0</x:v>
      </x:c>
      <x:c r="M58" s="51" t="b">
        <x:v>0</x:v>
      </x:c>
      <x:c r="N58" s="51" t="b">
        <x:v>0</x:v>
      </x:c>
    </x:row>
    <x:row r="59">
      <x:c r="A59" t="str">
        <x:v>BAJFINANCE</x:v>
      </x:c>
      <x:c r="B59" s="52" t="n">
        <x:v>45895</x:v>
      </x:c>
      <x:c r="C59" s="53" t="n">
        <x:v>876.25</x:v>
      </x:c>
      <x:c r="D59" s="46" t="n">
        <x:v>0.1046504992867332</x:v>
      </x:c>
      <x:c r="E59" s="46" t="n">
        <x:v>0.1046504992867332</x:v>
      </x:c>
      <x:c r="F59" t="n">
        <x:v>9</x:v>
      </x:c>
      <x:c r="G59" s="51" t="b">
        <x:v>0</x:v>
      </x:c>
      <x:c r="H59" s="51" t="b">
        <x:v>0</x:v>
      </x:c>
      <x:c r="I59" s="51" t="b">
        <x:v>0</x:v>
      </x:c>
      <x:c r="J59" s="51" t="b">
        <x:v>0</x:v>
      </x:c>
      <x:c r="K59" s="51" t="b">
        <x:v>0</x:v>
      </x:c>
      <x:c r="L59" s="51" t="b">
        <x:v>0</x:v>
      </x:c>
      <x:c r="M59" s="51" t="b">
        <x:v>0</x:v>
      </x:c>
      <x:c r="N59" s="51" t="b">
        <x:v>0</x:v>
      </x:c>
    </x:row>
    <x:row r="60">
      <x:c r="A60" t="str">
        <x:v>BAJFINANCE</x:v>
      </x:c>
      <x:c r="B60" s="52" t="n">
        <x:v>45933</x:v>
      </x:c>
      <x:c r="C60" s="53" t="n">
        <x:v>989.75</x:v>
      </x:c>
      <x:c r="D60" s="46" t="n">
        <x:v>0.08118211669613529</x:v>
      </x:c>
      <x:c r="E60" s="46" t="n">
        <x:v>0.08118211669613529</x:v>
      </x:c>
      <x:c r="F60" t="n">
        <x:v>10</x:v>
      </x:c>
      <x:c r="G60" s="51" t="b">
        <x:v>0</x:v>
      </x:c>
      <x:c r="H60" s="51" t="b">
        <x:v>0</x:v>
      </x:c>
      <x:c r="I60" s="51" t="b">
        <x:v>0</x:v>
      </x:c>
      <x:c r="J60" s="51" t="b">
        <x:v>0</x:v>
      </x:c>
      <x:c r="K60" s="51" t="b">
        <x:v>1</x:v>
      </x:c>
      <x:c r="L60" s="51" t="b">
        <x:v>0</x:v>
      </x:c>
      <x:c r="M60" s="51" t="b">
        <x:v>0</x:v>
      </x:c>
      <x:c r="N60" s="51" t="b">
        <x:v>0</x:v>
      </x:c>
    </x:row>
    <x:row r="61">
      <x:c r="A61" t="str">
        <x:v>BAJFINANCE</x:v>
      </x:c>
      <x:c r="B61" s="52" t="n">
        <x:v>46054</x:v>
      </x:c>
      <x:c r="C61" s="53" t="n">
        <x:v>902.35</x:v>
      </x:c>
      <x:c r="D61" s="46" t="n">
        <x:v>0.1356458137086496</x:v>
      </x:c>
      <x:c r="E61" s="46" t="n">
        <x:v>0.1356458137086496</x:v>
      </x:c>
      <x:c r="F61" t="n">
        <x:v>5</x:v>
      </x:c>
      <x:c r="G61" s="51" t="b">
        <x:v>0</x:v>
      </x:c>
      <x:c r="H61" s="51" t="b">
        <x:v>0</x:v>
      </x:c>
      <x:c r="I61" s="51" t="b">
        <x:v>0</x:v>
      </x:c>
      <x:c r="J61" s="51" t="b">
        <x:v>0</x:v>
      </x:c>
      <x:c r="K61" s="51" t="b">
        <x:v>0</x:v>
      </x:c>
      <x:c r="L61" s="51" t="b">
        <x:v>0</x:v>
      </x:c>
      <x:c r="M61" s="51" t="b">
        <x:v>0</x:v>
      </x:c>
      <x:c r="N61" s="51" t="b">
        <x:v>0</x:v>
      </x:c>
    </x:row>
    <x:row r="62">
      <x:c r="A62" t="str">
        <x:v>BAJFINANCE</x:v>
      </x:c>
      <x:c r="B62" s="52" t="n">
        <x:v>46101</x:v>
      </x:c>
      <x:c r="C62" s="53" t="n">
        <x:v>830.55</x:v>
      </x:c>
      <x:c r="D62" s="46" t="n">
        <x:v>0.10173981096863516</x:v>
      </x:c>
      <x:c r="E62" s="46" t="n">
        <x:v>0.10173981096863516</x:v>
      </x:c>
      <x:c r="F62" t="n">
        <x:v>10</x:v>
      </x:c>
      <x:c r="G62" s="51" t="b">
        <x:v>0</x:v>
      </x:c>
      <x:c r="H62" s="51" t="b">
        <x:v>0</x:v>
      </x:c>
      <x:c r="I62" s="51" t="b">
        <x:v>0</x:v>
      </x:c>
      <x:c r="J62" s="51" t="b">
        <x:v>0</x:v>
      </x:c>
      <x:c r="K62" s="51" t="b">
        <x:v>0</x:v>
      </x:c>
      <x:c r="L62" s="51" t="b">
        <x:v>0</x:v>
      </x:c>
      <x:c r="M62" s="51" t="b">
        <x:v>0</x:v>
      </x:c>
      <x:c r="N62" s="51" t="b">
        <x:v>0</x:v>
      </x:c>
    </x:row>
    <x:row r="63">
      <x:c r="A63" t="str">
        <x:v>BHARTIARTL</x:v>
      </x:c>
      <x:c r="B63" s="52" t="n">
        <x:v>42403</x:v>
      </x:c>
      <x:c r="C63" s="53" t="n">
        <x:v>299.8</x:v>
      </x:c>
      <x:c r="D63" s="46" t="n">
        <x:v>0.0825550366911274</x:v>
      </x:c>
      <x:c r="E63" s="46" t="n">
        <x:v>0.06587725150100066</x:v>
      </x:c>
      <x:c r="F63" t="n">
        <x:v>7</x:v>
      </x:c>
      <x:c r="G63" s="51" t="b">
        <x:v>0</x:v>
      </x:c>
      <x:c r="H63" s="51" t="b">
        <x:v>0</x:v>
      </x:c>
      <x:c r="I63" s="51" t="b">
        <x:v>0</x:v>
      </x:c>
      <x:c r="J63" s="51" t="b">
        <x:v>0</x:v>
      </x:c>
      <x:c r="K63" s="51" t="b">
        <x:v>0</x:v>
      </x:c>
      <x:c r="L63" s="51" t="b">
        <x:v>0</x:v>
      </x:c>
      <x:c r="M63" s="51" t="b">
        <x:v>0</x:v>
      </x:c>
      <x:c r="N63" s="51" t="b">
        <x:v>0</x:v>
      </x:c>
    </x:row>
    <x:row r="64">
      <x:c r="A64" t="str">
        <x:v>BHARTIARTL</x:v>
      </x:c>
      <x:c r="B64" s="52" t="n">
        <x:v>42429</x:v>
      </x:c>
      <x:c r="C64" s="53" t="n">
        <x:v>315.5</x:v>
      </x:c>
      <x:c r="D64" s="46" t="n">
        <x:v>0.08684627575277326</x:v>
      </x:c>
      <x:c r="E64" s="46" t="n">
        <x:v>0.08684627575277326</x:v>
      </x:c>
      <x:c r="F64" t="n">
        <x:v>9</x:v>
      </x:c>
      <x:c r="G64" s="51" t="b">
        <x:v>0</x:v>
      </x:c>
      <x:c r="H64" s="51" t="b">
        <x:v>0</x:v>
      </x:c>
      <x:c r="I64" s="51" t="b">
        <x:v>0</x:v>
      </x:c>
      <x:c r="J64" s="51" t="b">
        <x:v>0</x:v>
      </x:c>
      <x:c r="K64" s="51" t="b">
        <x:v>0</x:v>
      </x:c>
      <x:c r="L64" s="51" t="b">
        <x:v>0</x:v>
      </x:c>
      <x:c r="M64" s="51" t="b">
        <x:v>0</x:v>
      </x:c>
      <x:c r="N64" s="51" t="b">
        <x:v>0</x:v>
      </x:c>
    </x:row>
    <x:row r="65">
      <x:c r="A65" t="str">
        <x:v>BHARTIARTL</x:v>
      </x:c>
      <x:c r="B65" s="52" t="n">
        <x:v>42465</x:v>
      </x:c>
      <x:c r="C65" s="53" t="n">
        <x:v>330.5</x:v>
      </x:c>
      <x:c r="D65" s="46" t="n">
        <x:v>0.08744326777609679</x:v>
      </x:c>
      <x:c r="E65" s="46" t="n">
        <x:v>0.06838124054462935</x:v>
      </x:c>
      <x:c r="F65" t="n">
        <x:v>7</x:v>
      </x:c>
      <x:c r="G65" s="51" t="b">
        <x:v>0</x:v>
      </x:c>
      <x:c r="H65" s="51" t="b">
        <x:v>0</x:v>
      </x:c>
      <x:c r="I65" s="51" t="b">
        <x:v>0</x:v>
      </x:c>
      <x:c r="J65" s="51" t="b">
        <x:v>0</x:v>
      </x:c>
      <x:c r="K65" s="51" t="b">
        <x:v>0</x:v>
      </x:c>
      <x:c r="L65" s="51" t="b">
        <x:v>0</x:v>
      </x:c>
      <x:c r="M65" s="51" t="b">
        <x:v>1</x:v>
      </x:c>
      <x:c r="N65" s="51" t="b">
        <x:v>0</x:v>
      </x:c>
    </x:row>
    <x:row r="66">
      <x:c r="A66" t="str">
        <x:v>BHARTIARTL</x:v>
      </x:c>
      <x:c r="B66" s="52" t="n">
        <x:v>42691</x:v>
      </x:c>
      <x:c r="C66" s="53" t="n">
        <x:v>297.15</x:v>
      </x:c>
      <x:c r="D66" s="46" t="n">
        <x:v>0.093218913006899</x:v>
      </x:c>
      <x:c r="E66" s="46" t="n">
        <x:v>0.07083964327780579</x:v>
      </x:c>
      <x:c r="F66" t="n">
        <x:v>8</x:v>
      </x:c>
      <x:c r="G66" s="51" t="b">
        <x:v>0</x:v>
      </x:c>
      <x:c r="H66" s="51" t="b">
        <x:v>0</x:v>
      </x:c>
      <x:c r="I66" s="51" t="b">
        <x:v>0</x:v>
      </x:c>
      <x:c r="J66" s="51" t="b">
        <x:v>0</x:v>
      </x:c>
      <x:c r="K66" s="51" t="b">
        <x:v>0</x:v>
      </x:c>
      <x:c r="L66" s="51" t="b">
        <x:v>0</x:v>
      </x:c>
      <x:c r="M66" s="51" t="b">
        <x:v>1</x:v>
      </x:c>
      <x:c r="N66" s="51" t="b">
        <x:v>0</x:v>
      </x:c>
    </x:row>
    <x:row r="67">
      <x:c r="A67" t="str">
        <x:v>BHARTIARTL</x:v>
      </x:c>
      <x:c r="B67" s="52" t="n">
        <x:v>42726</x:v>
      </x:c>
      <x:c r="C67" s="53" t="n">
        <x:v>292.25</x:v>
      </x:c>
      <x:c r="D67" s="46" t="n">
        <x:v>0.09871685201026525</x:v>
      </x:c>
      <x:c r="E67" s="46" t="n">
        <x:v>0.09871685201026525</x:v>
      </x:c>
      <x:c r="F67" t="n">
        <x:v>10</x:v>
      </x:c>
      <x:c r="G67" s="51" t="b">
        <x:v>0</x:v>
      </x:c>
      <x:c r="H67" s="51" t="b">
        <x:v>0</x:v>
      </x:c>
      <x:c r="I67" s="51" t="b">
        <x:v>0</x:v>
      </x:c>
      <x:c r="J67" s="51" t="b">
        <x:v>0</x:v>
      </x:c>
      <x:c r="K67" s="51" t="b">
        <x:v>0</x:v>
      </x:c>
      <x:c r="L67" s="51" t="b">
        <x:v>1</x:v>
      </x:c>
      <x:c r="M67" s="51" t="b">
        <x:v>1</x:v>
      </x:c>
      <x:c r="N67" s="51" t="b">
        <x:v>0</x:v>
      </x:c>
    </x:row>
    <x:row r="68">
      <x:c r="A68" t="str">
        <x:v>BHARTIARTL</x:v>
      </x:c>
      <x:c r="B68" s="52" t="n">
        <x:v>42751</x:v>
      </x:c>
      <x:c r="C68" s="53" t="n">
        <x:v>318.6</x:v>
      </x:c>
      <x:c r="D68" s="46" t="n">
        <x:v>0.09290646578782158</x:v>
      </x:c>
      <x:c r="E68" s="46" t="n">
        <x:v>0.09290646578782158</x:v>
      </x:c>
      <x:c r="F68" t="n">
        <x:v>9</x:v>
      </x:c>
      <x:c r="G68" s="51" t="b">
        <x:v>0</x:v>
      </x:c>
      <x:c r="H68" s="51" t="b">
        <x:v>0</x:v>
      </x:c>
      <x:c r="I68" s="51" t="b">
        <x:v>0</x:v>
      </x:c>
      <x:c r="J68" s="51" t="b">
        <x:v>0</x:v>
      </x:c>
      <x:c r="K68" s="51" t="b">
        <x:v>0</x:v>
      </x:c>
      <x:c r="L68" s="51" t="b">
        <x:v>0</x:v>
      </x:c>
      <x:c r="M68" s="51" t="b">
        <x:v>1</x:v>
      </x:c>
      <x:c r="N68" s="51" t="b">
        <x:v>0</x:v>
      </x:c>
    </x:row>
    <x:row r="69">
      <x:c r="A69" t="str">
        <x:v>BHARTIARTL</x:v>
      </x:c>
      <x:c r="B69" s="52" t="n">
        <x:v>42858</x:v>
      </x:c>
      <x:c r="C69" s="53" t="n">
        <x:v>346.35</x:v>
      </x:c>
      <x:c r="D69" s="46" t="n">
        <x:v>0.08546268225783149</x:v>
      </x:c>
      <x:c r="E69" s="46" t="n">
        <x:v>0.08546268225783149</x:v>
      </x:c>
      <x:c r="F69" t="n">
        <x:v>9</x:v>
      </x:c>
      <x:c r="G69" s="51" t="b">
        <x:v>0</x:v>
      </x:c>
      <x:c r="H69" s="51" t="b">
        <x:v>0</x:v>
      </x:c>
      <x:c r="I69" s="51" t="b">
        <x:v>0</x:v>
      </x:c>
      <x:c r="J69" s="51" t="b">
        <x:v>0</x:v>
      </x:c>
      <x:c r="K69" s="51" t="b">
        <x:v>0</x:v>
      </x:c>
      <x:c r="L69" s="51" t="b">
        <x:v>1</x:v>
      </x:c>
      <x:c r="M69" s="51" t="b">
        <x:v>1</x:v>
      </x:c>
      <x:c r="N69" s="51" t="b">
        <x:v>0</x:v>
      </x:c>
    </x:row>
    <x:row r="70">
      <x:c r="A70" t="str">
        <x:v>BHARTIARTL</x:v>
      </x:c>
      <x:c r="B70" s="52" t="n">
        <x:v>42909</x:v>
      </x:c>
      <x:c r="C70" s="53" t="n">
        <x:v>366.2</x:v>
      </x:c>
      <x:c r="D70" s="46" t="n">
        <x:v>0.10786455488803925</x:v>
      </x:c>
      <x:c r="E70" s="46" t="n">
        <x:v>0.10786455488803925</x:v>
      </x:c>
      <x:c r="F70" t="n">
        <x:v>10</x:v>
      </x:c>
      <x:c r="G70" s="51" t="b">
        <x:v>0</x:v>
      </x:c>
      <x:c r="H70" s="51" t="b">
        <x:v>0</x:v>
      </x:c>
      <x:c r="I70" s="51" t="b">
        <x:v>0</x:v>
      </x:c>
      <x:c r="J70" s="51" t="b">
        <x:v>0</x:v>
      </x:c>
      <x:c r="K70" s="51" t="b">
        <x:v>0</x:v>
      </x:c>
      <x:c r="L70" s="51" t="b">
        <x:v>1</x:v>
      </x:c>
      <x:c r="M70" s="51" t="b">
        <x:v>1</x:v>
      </x:c>
      <x:c r="N70" s="51" t="b">
        <x:v>0</x:v>
      </x:c>
    </x:row>
    <x:row r="71">
      <x:c r="A71" t="str">
        <x:v>BHARTIARTL</x:v>
      </x:c>
      <x:c r="B71" s="52" t="n">
        <x:v>42921</x:v>
      </x:c>
      <x:c r="C71" s="53" t="n">
        <x:v>376.3</x:v>
      </x:c>
      <x:c r="D71" s="46" t="n">
        <x:v>0.11945256444326335</x:v>
      </x:c>
      <x:c r="E71" s="46" t="n">
        <x:v>0.11945256444326335</x:v>
      </x:c>
      <x:c r="F71" t="n">
        <x:v>7</x:v>
      </x:c>
      <x:c r="G71" s="51" t="b">
        <x:v>0</x:v>
      </x:c>
      <x:c r="H71" s="51" t="b">
        <x:v>0</x:v>
      </x:c>
      <x:c r="I71" s="51" t="b">
        <x:v>0</x:v>
      </x:c>
      <x:c r="J71" s="51" t="b">
        <x:v>0</x:v>
      </x:c>
      <x:c r="K71" s="51" t="b">
        <x:v>1</x:v>
      </x:c>
      <x:c r="L71" s="51" t="b">
        <x:v>0</x:v>
      </x:c>
      <x:c r="M71" s="51" t="b">
        <x:v>1</x:v>
      </x:c>
      <x:c r="N71" s="51" t="b">
        <x:v>0</x:v>
      </x:c>
    </x:row>
    <x:row r="72">
      <x:c r="A72" t="str">
        <x:v>BHARTIARTL</x:v>
      </x:c>
      <x:c r="B72" s="52" t="n">
        <x:v>43006</x:v>
      </x:c>
      <x:c r="C72" s="53" t="n">
        <x:v>382.05</x:v>
      </x:c>
      <x:c r="D72" s="46" t="n">
        <x:v>0.1278628451773327</x:v>
      </x:c>
      <x:c r="E72" s="46" t="n">
        <x:v>0.1278628451773327</x:v>
      </x:c>
      <x:c r="F72" t="n">
        <x:v>10</x:v>
      </x:c>
      <x:c r="G72" s="51" t="b">
        <x:v>0</x:v>
      </x:c>
      <x:c r="H72" s="51" t="b">
        <x:v>0</x:v>
      </x:c>
      <x:c r="I72" s="51" t="b">
        <x:v>1</x:v>
      </x:c>
      <x:c r="J72" s="51" t="b">
        <x:v>0</x:v>
      </x:c>
      <x:c r="K72" s="51" t="b">
        <x:v>0</x:v>
      </x:c>
      <x:c r="L72" s="51" t="b">
        <x:v>1</x:v>
      </x:c>
      <x:c r="M72" s="51" t="b">
        <x:v>1</x:v>
      </x:c>
      <x:c r="N72" s="51" t="b">
        <x:v>0</x:v>
      </x:c>
    </x:row>
    <x:row r="73">
      <x:c r="A73" t="str">
        <x:v>BHARTIARTL</x:v>
      </x:c>
      <x:c r="B73" s="52" t="n">
        <x:v>43067</x:v>
      </x:c>
      <x:c r="C73" s="53" t="n">
        <x:v>492</x:v>
      </x:c>
      <x:c r="D73" s="46" t="n">
        <x:v>0.0827235772357724</x:v>
      </x:c>
      <x:c r="E73" s="46" t="n">
        <x:v>0.06473577235772354</x:v>
      </x:c>
      <x:c r="F73" t="n">
        <x:v>9</x:v>
      </x:c>
      <x:c r="G73" s="51" t="b">
        <x:v>0</x:v>
      </x:c>
      <x:c r="H73" s="51" t="b">
        <x:v>0</x:v>
      </x:c>
      <x:c r="I73" s="51" t="b">
        <x:v>0</x:v>
      </x:c>
      <x:c r="J73" s="51" t="b">
        <x:v>0</x:v>
      </x:c>
      <x:c r="K73" s="51" t="b">
        <x:v>0</x:v>
      </x:c>
      <x:c r="L73" s="51" t="b">
        <x:v>1</x:v>
      </x:c>
      <x:c r="M73" s="51" t="b">
        <x:v>1</x:v>
      </x:c>
      <x:c r="N73" s="51" t="b">
        <x:v>0</x:v>
      </x:c>
    </x:row>
    <x:row r="74">
      <x:c r="A74" t="str">
        <x:v>BHARTIARTL</x:v>
      </x:c>
      <x:c r="B74" s="52" t="n">
        <x:v>43201</x:v>
      </x:c>
      <x:c r="C74" s="53" t="n">
        <x:v>385.3</x:v>
      </x:c>
      <x:c r="D74" s="46" t="n">
        <x:v>0.08967038671165328</x:v>
      </x:c>
      <x:c r="E74" s="46" t="n">
        <x:v>0.08967038671165328</x:v>
      </x:c>
      <x:c r="F74" t="n">
        <x:v>10</x:v>
      </x:c>
      <x:c r="G74" s="51" t="b">
        <x:v>0</x:v>
      </x:c>
      <x:c r="H74" s="51" t="b">
        <x:v>0</x:v>
      </x:c>
      <x:c r="I74" s="51" t="b">
        <x:v>0</x:v>
      </x:c>
      <x:c r="J74" s="51" t="b">
        <x:v>0</x:v>
      </x:c>
      <x:c r="K74" s="51" t="b">
        <x:v>0</x:v>
      </x:c>
      <x:c r="L74" s="51" t="b">
        <x:v>0</x:v>
      </x:c>
      <x:c r="M74" s="51" t="b">
        <x:v>0</x:v>
      </x:c>
      <x:c r="N74" s="51" t="b">
        <x:v>1</x:v>
      </x:c>
    </x:row>
    <x:row r="75">
      <x:c r="A75" t="str">
        <x:v>BHARTIARTL</x:v>
      </x:c>
      <x:c r="B75" s="52" t="n">
        <x:v>43297</x:v>
      </x:c>
      <x:c r="C75" s="53" t="n">
        <x:v>347.4</x:v>
      </x:c>
      <x:c r="D75" s="46" t="n">
        <x:v>0.10319516407599316</x:v>
      </x:c>
      <x:c r="E75" s="46" t="n">
        <x:v>0.10319516407599316</x:v>
      </x:c>
      <x:c r="F75" t="n">
        <x:v>10</x:v>
      </x:c>
      <x:c r="G75" s="51" t="b">
        <x:v>0</x:v>
      </x:c>
      <x:c r="H75" s="51" t="b">
        <x:v>0</x:v>
      </x:c>
      <x:c r="I75" s="51" t="b">
        <x:v>0</x:v>
      </x:c>
      <x:c r="J75" s="51" t="b">
        <x:v>0</x:v>
      </x:c>
      <x:c r="K75" s="51" t="b">
        <x:v>0</x:v>
      </x:c>
      <x:c r="L75" s="51" t="b">
        <x:v>0</x:v>
      </x:c>
      <x:c r="M75" s="51" t="b">
        <x:v>1</x:v>
      </x:c>
      <x:c r="N75" s="51" t="b">
        <x:v>1</x:v>
      </x:c>
    </x:row>
    <x:row r="76">
      <x:c r="A76" t="str">
        <x:v>BHARTIARTL</x:v>
      </x:c>
      <x:c r="B76" s="52" t="n">
        <x:v>43382</x:v>
      </x:c>
      <x:c r="C76" s="53" t="n">
        <x:v>289</x:v>
      </x:c>
      <x:c r="D76" s="46" t="n">
        <x:v>0.0929065743944637</x:v>
      </x:c>
      <x:c r="E76" s="46" t="n">
        <x:v>0.0929065743944637</x:v>
      </x:c>
      <x:c r="F76" t="n">
        <x:v>10</x:v>
      </x:c>
      <x:c r="G76" s="51" t="b">
        <x:v>0</x:v>
      </x:c>
      <x:c r="H76" s="51" t="b">
        <x:v>0</x:v>
      </x:c>
      <x:c r="I76" s="51" t="b">
        <x:v>0</x:v>
      </x:c>
      <x:c r="J76" s="51" t="b">
        <x:v>0</x:v>
      </x:c>
      <x:c r="K76" s="51" t="b">
        <x:v>0</x:v>
      </x:c>
      <x:c r="L76" s="51" t="b">
        <x:v>1</x:v>
      </x:c>
      <x:c r="M76" s="51" t="b">
        <x:v>0</x:v>
      </x:c>
      <x:c r="N76" s="51" t="b">
        <x:v>1</x:v>
      </x:c>
    </x:row>
    <x:row r="77">
      <x:c r="A77" t="str">
        <x:v>BHARTIARTL</x:v>
      </x:c>
      <x:c r="B77" s="52" t="n">
        <x:v>43405</x:v>
      </x:c>
      <x:c r="C77" s="53" t="n">
        <x:v>293.5</x:v>
      </x:c>
      <x:c r="D77" s="46" t="n">
        <x:v>0.1337308347529813</x:v>
      </x:c>
      <x:c r="E77" s="46" t="n">
        <x:v>0.1337308347529813</x:v>
      </x:c>
      <x:c r="F77" t="n">
        <x:v>10</x:v>
      </x:c>
      <x:c r="G77" s="51" t="b">
        <x:v>0</x:v>
      </x:c>
      <x:c r="H77" s="51" t="b">
        <x:v>0</x:v>
      </x:c>
      <x:c r="I77" s="51" t="b">
        <x:v>0</x:v>
      </x:c>
      <x:c r="J77" s="51" t="b">
        <x:v>0</x:v>
      </x:c>
      <x:c r="K77" s="51" t="b">
        <x:v>0</x:v>
      </x:c>
      <x:c r="L77" s="51" t="b">
        <x:v>0</x:v>
      </x:c>
      <x:c r="M77" s="51" t="b">
        <x:v>0</x:v>
      </x:c>
      <x:c r="N77" s="51" t="b">
        <x:v>1</x:v>
      </x:c>
    </x:row>
    <x:row r="78">
      <x:c r="A78" t="str">
        <x:v>BHARTIARTL</x:v>
      </x:c>
      <x:c r="B78" s="52" t="n">
        <x:v>43444</x:v>
      </x:c>
      <x:c r="C78" s="53" t="n">
        <x:v>294.95</x:v>
      </x:c>
      <x:c r="D78" s="46" t="n">
        <x:v>0.09408374300728939</x:v>
      </x:c>
      <x:c r="E78" s="46" t="n">
        <x:v>0.04797423292083414</x:v>
      </x:c>
      <x:c r="F78" t="n">
        <x:v>4</x:v>
      </x:c>
      <x:c r="G78" s="51" t="b">
        <x:v>0</x:v>
      </x:c>
      <x:c r="H78" s="51" t="b">
        <x:v>0</x:v>
      </x:c>
      <x:c r="I78" s="51" t="b">
        <x:v>0</x:v>
      </x:c>
      <x:c r="J78" s="51" t="b">
        <x:v>0</x:v>
      </x:c>
      <x:c r="K78" s="51" t="b">
        <x:v>0</x:v>
      </x:c>
      <x:c r="L78" s="51" t="b">
        <x:v>1</x:v>
      </x:c>
      <x:c r="M78" s="51" t="b">
        <x:v>0</x:v>
      </x:c>
      <x:c r="N78" s="51" t="b">
        <x:v>0</x:v>
      </x:c>
    </x:row>
    <x:row r="79">
      <x:c r="A79" t="str">
        <x:v>BHARTIARTL</x:v>
      </x:c>
      <x:c r="B79" s="52" t="n">
        <x:v>43467</x:v>
      </x:c>
      <x:c r="C79" s="53" t="n">
        <x:v>312.65</x:v>
      </x:c>
      <x:c r="D79" s="46" t="n">
        <x:v>0.08028146489684951</x:v>
      </x:c>
      <x:c r="E79" s="46" t="n">
        <x:v>0.0681272988965298</x:v>
      </x:c>
      <x:c r="F79" t="n">
        <x:v>9</x:v>
      </x:c>
      <x:c r="G79" s="51" t="b">
        <x:v>0</x:v>
      </x:c>
      <x:c r="H79" s="51" t="b">
        <x:v>0</x:v>
      </x:c>
      <x:c r="I79" s="51" t="b">
        <x:v>0</x:v>
      </x:c>
      <x:c r="J79" s="51" t="b">
        <x:v>0</x:v>
      </x:c>
      <x:c r="K79" s="51" t="b">
        <x:v>0</x:v>
      </x:c>
      <x:c r="L79" s="51" t="b">
        <x:v>0</x:v>
      </x:c>
      <x:c r="M79" s="51" t="b">
        <x:v>0</x:v>
      </x:c>
      <x:c r="N79" s="51" t="b">
        <x:v>1</x:v>
      </x:c>
    </x:row>
    <x:row r="80">
      <x:c r="A80" t="str">
        <x:v>BHARTIARTL</x:v>
      </x:c>
      <x:c r="B80" s="52" t="n">
        <x:v>43521</x:v>
      </x:c>
      <x:c r="C80" s="53" t="n">
        <x:v>317.25</x:v>
      </x:c>
      <x:c r="D80" s="46" t="n">
        <x:v>0.10890464933018129</x:v>
      </x:c>
      <x:c r="E80" s="46" t="n">
        <x:v>0.10890464933018129</x:v>
      </x:c>
      <x:c r="F80" t="n">
        <x:v>10</x:v>
      </x:c>
      <x:c r="G80" s="51" t="b">
        <x:v>0</x:v>
      </x:c>
      <x:c r="H80" s="51" t="b">
        <x:v>0</x:v>
      </x:c>
      <x:c r="I80" s="51" t="b">
        <x:v>0</x:v>
      </x:c>
      <x:c r="J80" s="51" t="b">
        <x:v>0</x:v>
      </x:c>
      <x:c r="K80" s="51" t="b">
        <x:v>1</x:v>
      </x:c>
      <x:c r="L80" s="51" t="b">
        <x:v>0</x:v>
      </x:c>
      <x:c r="M80" s="51" t="b">
        <x:v>0</x:v>
      </x:c>
      <x:c r="N80" s="51" t="b">
        <x:v>1</x:v>
      </x:c>
    </x:row>
    <x:row r="81">
      <x:c r="A81" t="str">
        <x:v>BHARTIARTL</x:v>
      </x:c>
      <x:c r="B81" s="52" t="n">
        <x:v>43549</x:v>
      </x:c>
      <x:c r="C81" s="53" t="n">
        <x:v>327</x:v>
      </x:c>
      <x:c r="D81" s="46" t="n">
        <x:v>0.09113149847094815</x:v>
      </x:c>
      <x:c r="E81" s="46" t="n">
        <x:v>0.08547400611620781</x:v>
      </x:c>
      <x:c r="F81" t="n">
        <x:v>6</x:v>
      </x:c>
      <x:c r="G81" s="51" t="b">
        <x:v>0</x:v>
      </x:c>
      <x:c r="H81" s="51" t="b">
        <x:v>0</x:v>
      </x:c>
      <x:c r="I81" s="51" t="b">
        <x:v>0</x:v>
      </x:c>
      <x:c r="J81" s="51" t="b">
        <x:v>0</x:v>
      </x:c>
      <x:c r="K81" s="51" t="b">
        <x:v>0</x:v>
      </x:c>
      <x:c r="L81" s="51" t="b">
        <x:v>0</x:v>
      </x:c>
      <x:c r="M81" s="51" t="b">
        <x:v>1</x:v>
      </x:c>
      <x:c r="N81" s="51" t="b">
        <x:v>1</x:v>
      </x:c>
    </x:row>
    <x:row r="82">
      <x:c r="A82" t="str">
        <x:v>BHARTIARTL</x:v>
      </x:c>
      <x:c r="B82" s="52" t="n">
        <x:v>43595</x:v>
      </x:c>
      <x:c r="C82" s="53" t="n">
        <x:v>324.1</x:v>
      </x:c>
      <x:c r="D82" s="46" t="n">
        <x:v>0.08978710274606594</x:v>
      </x:c>
      <x:c r="E82" s="46" t="n">
        <x:v>0.08978710274606594</x:v>
      </x:c>
      <x:c r="F82" t="n">
        <x:v>10</x:v>
      </x:c>
      <x:c r="G82" s="51" t="b">
        <x:v>0</x:v>
      </x:c>
      <x:c r="H82" s="51" t="b">
        <x:v>0</x:v>
      </x:c>
      <x:c r="I82" s="51" t="b">
        <x:v>0</x:v>
      </x:c>
      <x:c r="J82" s="51" t="b">
        <x:v>0</x:v>
      </x:c>
      <x:c r="K82" s="51" t="b">
        <x:v>0</x:v>
      </x:c>
      <x:c r="L82" s="51" t="b">
        <x:v>0</x:v>
      </x:c>
      <x:c r="M82" s="51" t="b">
        <x:v>1</x:v>
      </x:c>
      <x:c r="N82" s="51" t="b">
        <x:v>0</x:v>
      </x:c>
    </x:row>
    <x:row r="83">
      <x:c r="A83" t="str">
        <x:v>BHARTIARTL</x:v>
      </x:c>
      <x:c r="B83" s="52" t="n">
        <x:v>43670</x:v>
      </x:c>
      <x:c r="C83" s="53" t="n">
        <x:v>338.9</x:v>
      </x:c>
      <x:c r="D83" s="46" t="n">
        <x:v>0.08719386249631156</x:v>
      </x:c>
      <x:c r="E83" s="46" t="n">
        <x:v>0.08025966361758652</x:v>
      </x:c>
      <x:c r="F83" t="n">
        <x:v>9</x:v>
      </x:c>
      <x:c r="G83" s="51" t="b">
        <x:v>0</x:v>
      </x:c>
      <x:c r="H83" s="51" t="b">
        <x:v>0</x:v>
      </x:c>
      <x:c r="I83" s="51" t="b">
        <x:v>0</x:v>
      </x:c>
      <x:c r="J83" s="51" t="b">
        <x:v>0</x:v>
      </x:c>
      <x:c r="K83" s="51" t="b">
        <x:v>0</x:v>
      </x:c>
      <x:c r="L83" s="51" t="b">
        <x:v>0</x:v>
      </x:c>
      <x:c r="M83" s="51" t="b">
        <x:v>0</x:v>
      </x:c>
      <x:c r="N83" s="51" t="b">
        <x:v>1</x:v>
      </x:c>
    </x:row>
    <x:row r="84">
      <x:c r="A84" t="str">
        <x:v>BHARTIARTL</x:v>
      </x:c>
      <x:c r="B84" s="52" t="n">
        <x:v>43725</x:v>
      </x:c>
      <x:c r="C84" s="53" t="n">
        <x:v>339.85</x:v>
      </x:c>
      <x:c r="D84" s="46" t="n">
        <x:v>0.0800353096954538</x:v>
      </x:c>
      <x:c r="E84" s="46" t="n">
        <x:v>0.03266146829483585</x:v>
      </x:c>
      <x:c r="F84" t="n">
        <x:v>9</x:v>
      </x:c>
      <x:c r="G84" s="51" t="b">
        <x:v>0</x:v>
      </x:c>
      <x:c r="H84" s="51" t="b">
        <x:v>0</x:v>
      </x:c>
      <x:c r="I84" s="51" t="b">
        <x:v>0</x:v>
      </x:c>
      <x:c r="J84" s="51" t="b">
        <x:v>0</x:v>
      </x:c>
      <x:c r="K84" s="51" t="b">
        <x:v>0</x:v>
      </x:c>
      <x:c r="L84" s="51" t="b">
        <x:v>0</x:v>
      </x:c>
      <x:c r="M84" s="51" t="b">
        <x:v>0</x:v>
      </x:c>
      <x:c r="N84" s="51" t="b">
        <x:v>1</x:v>
      </x:c>
    </x:row>
    <x:row r="85">
      <x:c r="A85" t="str">
        <x:v>BHARTIARTL</x:v>
      </x:c>
      <x:c r="B85" s="52" t="n">
        <x:v>43770</x:v>
      </x:c>
      <x:c r="C85" s="53" t="n">
        <x:v>373.05</x:v>
      </x:c>
      <x:c r="D85" s="46" t="n">
        <x:v>0.09690390028146356</x:v>
      </x:c>
      <x:c r="E85" s="46" t="n">
        <x:v>0.09690390028146356</x:v>
      </x:c>
      <x:c r="F85" t="n">
        <x:v>10</x:v>
      </x:c>
      <x:c r="G85" s="51" t="b">
        <x:v>0</x:v>
      </x:c>
      <x:c r="H85" s="51" t="b">
        <x:v>0</x:v>
      </x:c>
      <x:c r="I85" s="51" t="b">
        <x:v>0</x:v>
      </x:c>
      <x:c r="J85" s="51" t="b">
        <x:v>0</x:v>
      </x:c>
      <x:c r="K85" s="51" t="b">
        <x:v>0</x:v>
      </x:c>
      <x:c r="L85" s="51" t="b">
        <x:v>1</x:v>
      </x:c>
      <x:c r="M85" s="51" t="b">
        <x:v>0</x:v>
      </x:c>
      <x:c r="N85" s="51" t="b">
        <x:v>1</x:v>
      </x:c>
    </x:row>
    <x:row r="86">
      <x:c r="A86" t="str">
        <x:v>BHARTIARTL</x:v>
      </x:c>
      <x:c r="B86" s="52" t="n">
        <x:v>43815</x:v>
      </x:c>
      <x:c r="C86" s="53" t="n">
        <x:v>421.85</x:v>
      </x:c>
      <x:c r="D86" s="46" t="n">
        <x:v>0.09162024416261705</x:v>
      </x:c>
      <x:c r="E86" s="46" t="n">
        <x:v>0.08047884319070753</x:v>
      </x:c>
      <x:c r="F86" t="n">
        <x:v>6</x:v>
      </x:c>
      <x:c r="G86" s="51" t="b">
        <x:v>0</x:v>
      </x:c>
      <x:c r="H86" s="51" t="b">
        <x:v>0</x:v>
      </x:c>
      <x:c r="I86" s="51" t="b">
        <x:v>0</x:v>
      </x:c>
      <x:c r="J86" s="51" t="b">
        <x:v>0</x:v>
      </x:c>
      <x:c r="K86" s="51" t="b">
        <x:v>0</x:v>
      </x:c>
      <x:c r="L86" s="51" t="b">
        <x:v>1</x:v>
      </x:c>
      <x:c r="M86" s="51" t="b">
        <x:v>0</x:v>
      </x:c>
      <x:c r="N86" s="51" t="b">
        <x:v>1</x:v>
      </x:c>
    </x:row>
    <x:row r="87">
      <x:c r="A87" t="str">
        <x:v>BHARTIARTL</x:v>
      </x:c>
      <x:c r="B87" s="52" t="n">
        <x:v>43833</x:v>
      </x:c>
      <x:c r="C87" s="53" t="n">
        <x:v>455.1</x:v>
      </x:c>
      <x:c r="D87" s="46" t="n">
        <x:v>0.09876950120852568</x:v>
      </x:c>
      <x:c r="E87" s="46" t="n">
        <x:v>0.09876950120852568</x:v>
      </x:c>
      <x:c r="F87" t="n">
        <x:v>10</x:v>
      </x:c>
      <x:c r="G87" s="51" t="b">
        <x:v>0</x:v>
      </x:c>
      <x:c r="H87" s="51" t="b">
        <x:v>0</x:v>
      </x:c>
      <x:c r="I87" s="51" t="b">
        <x:v>0</x:v>
      </x:c>
      <x:c r="J87" s="51" t="b">
        <x:v>0</x:v>
      </x:c>
      <x:c r="K87" s="51" t="b">
        <x:v>0</x:v>
      </x:c>
      <x:c r="L87" s="51" t="b">
        <x:v>1</x:v>
      </x:c>
      <x:c r="M87" s="51" t="b">
        <x:v>1</x:v>
      </x:c>
      <x:c r="N87" s="51" t="b">
        <x:v>1</x:v>
      </x:c>
    </x:row>
    <x:row r="88">
      <x:c r="A88" t="str">
        <x:v>BHARTIARTL</x:v>
      </x:c>
      <x:c r="B88" s="52" t="n">
        <x:v>43858</x:v>
      </x:c>
      <x:c r="C88" s="53" t="n">
        <x:v>491.25</x:v>
      </x:c>
      <x:c r="D88" s="46" t="n">
        <x:v>0.11307888040712455</x:v>
      </x:c>
      <x:c r="E88" s="46" t="n">
        <x:v>0.09659033078880408</x:v>
      </x:c>
      <x:c r="F88" t="n">
        <x:v>7</x:v>
      </x:c>
      <x:c r="G88" s="51" t="b">
        <x:v>0</x:v>
      </x:c>
      <x:c r="H88" s="51" t="b">
        <x:v>0</x:v>
      </x:c>
      <x:c r="I88" s="51" t="b">
        <x:v>0</x:v>
      </x:c>
      <x:c r="J88" s="51" t="b">
        <x:v>0</x:v>
      </x:c>
      <x:c r="K88" s="51" t="b">
        <x:v>1</x:v>
      </x:c>
      <x:c r="L88" s="51" t="b">
        <x:v>1</x:v>
      </x:c>
      <x:c r="M88" s="51" t="b">
        <x:v>0</x:v>
      </x:c>
      <x:c r="N88" s="51" t="b">
        <x:v>1</x:v>
      </x:c>
    </x:row>
    <x:row r="89">
      <x:c r="A89" t="str">
        <x:v>BHARTIARTL</x:v>
      </x:c>
      <x:c r="B89" s="52" t="n">
        <x:v>43908</x:v>
      </x:c>
      <x:c r="C89" s="53" t="n">
        <x:v>425.55</x:v>
      </x:c>
      <x:c r="D89" s="46" t="n">
        <x:v>0.1060979908353894</x:v>
      </x:c>
      <x:c r="E89" s="46" t="n">
        <x:v>-0.009869580542826939</x:v>
      </x:c>
      <x:c r="F89" t="n">
        <x:v>2</x:v>
      </x:c>
      <x:c r="G89" s="51" t="b">
        <x:v>0</x:v>
      </x:c>
      <x:c r="H89" s="51" t="b">
        <x:v>0</x:v>
      </x:c>
      <x:c r="I89" s="51" t="b">
        <x:v>0</x:v>
      </x:c>
      <x:c r="J89" s="51" t="b">
        <x:v>0</x:v>
      </x:c>
      <x:c r="K89" s="51" t="b">
        <x:v>0</x:v>
      </x:c>
      <x:c r="L89" s="51" t="b">
        <x:v>0</x:v>
      </x:c>
      <x:c r="M89" s="51" t="b">
        <x:v>0</x:v>
      </x:c>
      <x:c r="N89" s="51" t="b">
        <x:v>0</x:v>
      </x:c>
    </x:row>
    <x:row r="90">
      <x:c r="A90" t="str">
        <x:v>BHARTIARTL</x:v>
      </x:c>
      <x:c r="B90" s="52" t="n">
        <x:v>43941</x:v>
      </x:c>
      <x:c r="C90" s="53" t="n">
        <x:v>490.3</x:v>
      </x:c>
      <x:c r="D90" s="46" t="n">
        <x:v>0.08606975321231891</x:v>
      </x:c>
      <x:c r="E90" s="46" t="n">
        <x:v>0.07699367734040363</x:v>
      </x:c>
      <x:c r="F90" t="n">
        <x:v>9</x:v>
      </x:c>
      <x:c r="G90" s="51" t="b">
        <x:v>0</x:v>
      </x:c>
      <x:c r="H90" s="51" t="b">
        <x:v>0</x:v>
      </x:c>
      <x:c r="I90" s="51" t="b">
        <x:v>0</x:v>
      </x:c>
      <x:c r="J90" s="51" t="b">
        <x:v>0</x:v>
      </x:c>
      <x:c r="K90" s="51" t="b">
        <x:v>0</x:v>
      </x:c>
      <x:c r="L90" s="51" t="b">
        <x:v>0</x:v>
      </x:c>
      <x:c r="M90" s="51" t="b">
        <x:v>1</x:v>
      </x:c>
      <x:c r="N90" s="51" t="b">
        <x:v>0</x:v>
      </x:c>
    </x:row>
    <x:row r="91">
      <x:c r="A91" t="str">
        <x:v>BHARTIARTL</x:v>
      </x:c>
      <x:c r="B91" s="52" t="n">
        <x:v>44118</x:v>
      </x:c>
      <x:c r="C91" s="53" t="n">
        <x:v>413.25</x:v>
      </x:c>
      <x:c r="D91" s="46" t="n">
        <x:v>0.09340592861464003</x:v>
      </x:c>
      <x:c r="E91" s="46" t="n">
        <x:v>0.09340592861464003</x:v>
      </x:c>
      <x:c r="F91" t="n">
        <x:v>10</x:v>
      </x:c>
      <x:c r="G91" s="51" t="b">
        <x:v>0</x:v>
      </x:c>
      <x:c r="H91" s="51" t="b">
        <x:v>0</x:v>
      </x:c>
      <x:c r="I91" s="51" t="b">
        <x:v>1</x:v>
      </x:c>
      <x:c r="J91" s="51" t="b">
        <x:v>0</x:v>
      </x:c>
      <x:c r="K91" s="51" t="b">
        <x:v>0</x:v>
      </x:c>
      <x:c r="L91" s="51" t="b">
        <x:v>0</x:v>
      </x:c>
      <x:c r="M91" s="51" t="b">
        <x:v>1</x:v>
      </x:c>
      <x:c r="N91" s="51" t="b">
        <x:v>0</x:v>
      </x:c>
    </x:row>
    <x:row r="92">
      <x:c r="A92" t="str">
        <x:v>BHARTIARTL</x:v>
      </x:c>
      <x:c r="B92" s="52" t="n">
        <x:v>44160</x:v>
      </x:c>
      <x:c r="C92" s="53" t="n">
        <x:v>464.1</x:v>
      </x:c>
      <x:c r="D92" s="46" t="n">
        <x:v>0.09663865546218475</x:v>
      </x:c>
      <x:c r="E92" s="46" t="n">
        <x:v>0.08845076492135306</x:v>
      </x:c>
      <x:c r="F92" t="n">
        <x:v>7</x:v>
      </x:c>
      <x:c r="G92" s="51" t="b">
        <x:v>0</x:v>
      </x:c>
      <x:c r="H92" s="51" t="b">
        <x:v>0</x:v>
      </x:c>
      <x:c r="I92" s="51" t="b">
        <x:v>0</x:v>
      </x:c>
      <x:c r="J92" s="51" t="b">
        <x:v>0</x:v>
      </x:c>
      <x:c r="K92" s="51" t="b">
        <x:v>0</x:v>
      </x:c>
      <x:c r="L92" s="51" t="b">
        <x:v>1</x:v>
      </x:c>
      <x:c r="M92" s="51" t="b">
        <x:v>1</x:v>
      </x:c>
      <x:c r="N92" s="51" t="b">
        <x:v>0</x:v>
      </x:c>
    </x:row>
    <x:row r="93">
      <x:c r="A93" t="str">
        <x:v>BHARTIARTL</x:v>
      </x:c>
      <x:c r="B93" s="52" t="n">
        <x:v>44194</x:v>
      </x:c>
      <x:c r="C93" s="53" t="n">
        <x:v>520.25</x:v>
      </x:c>
      <x:c r="D93" s="46" t="n">
        <x:v>0.08745795290725611</x:v>
      </x:c>
      <x:c r="E93" s="46" t="n">
        <x:v>0.08745795290725611</x:v>
      </x:c>
      <x:c r="F93" t="n">
        <x:v>10</x:v>
      </x:c>
      <x:c r="G93" s="51" t="b">
        <x:v>0</x:v>
      </x:c>
      <x:c r="H93" s="51" t="b">
        <x:v>0</x:v>
      </x:c>
      <x:c r="I93" s="51" t="b">
        <x:v>0</x:v>
      </x:c>
      <x:c r="J93" s="51" t="b">
        <x:v>0</x:v>
      </x:c>
      <x:c r="K93" s="51" t="b">
        <x:v>1</x:v>
      </x:c>
      <x:c r="L93" s="51" t="b">
        <x:v>0</x:v>
      </x:c>
      <x:c r="M93" s="51" t="b">
        <x:v>1</x:v>
      </x:c>
      <x:c r="N93" s="51" t="b">
        <x:v>0</x:v>
      </x:c>
    </x:row>
    <x:row r="94">
      <x:c r="A94" t="str">
        <x:v>BHARTIARTL</x:v>
      </x:c>
      <x:c r="B94" s="52" t="n">
        <x:v>44392</x:v>
      </x:c>
      <x:c r="C94" s="53" t="n">
        <x:v>525.45</x:v>
      </x:c>
      <x:c r="D94" s="46" t="n">
        <x:v>0.08078789608906645</x:v>
      </x:c>
      <x:c r="E94" s="46" t="n">
        <x:v>0.06889332952707194</x:v>
      </x:c>
      <x:c r="F94" t="n">
        <x:v>8</x:v>
      </x:c>
      <x:c r="G94" s="51" t="b">
        <x:v>0</x:v>
      </x:c>
      <x:c r="H94" s="51" t="b">
        <x:v>0</x:v>
      </x:c>
      <x:c r="I94" s="51" t="b">
        <x:v>0</x:v>
      </x:c>
      <x:c r="J94" s="51" t="b">
        <x:v>0</x:v>
      </x:c>
      <x:c r="K94" s="51" t="b">
        <x:v>0</x:v>
      </x:c>
      <x:c r="L94" s="51" t="b">
        <x:v>1</x:v>
      </x:c>
      <x:c r="M94" s="51" t="b">
        <x:v>1</x:v>
      </x:c>
      <x:c r="N94" s="51" t="b">
        <x:v>1</x:v>
      </x:c>
    </x:row>
    <x:row r="95">
      <x:c r="A95" t="str">
        <x:v>BHARTIARTL</x:v>
      </x:c>
      <x:c r="B95" s="52" t="n">
        <x:v>44428</x:v>
      </x:c>
      <x:c r="C95" s="53" t="n">
        <x:v>613.7</x:v>
      </x:c>
      <x:c r="D95" s="46" t="n">
        <x:v>0.08603552224213784</x:v>
      </x:c>
      <x:c r="E95" s="46" t="n">
        <x:v>0.07291836402150897</x:v>
      </x:c>
      <x:c r="F95" t="n">
        <x:v>7</x:v>
      </x:c>
      <x:c r="G95" s="51" t="b">
        <x:v>0</x:v>
      </x:c>
      <x:c r="H95" s="51" t="b">
        <x:v>0</x:v>
      </x:c>
      <x:c r="I95" s="51" t="b">
        <x:v>1</x:v>
      </x:c>
      <x:c r="J95" s="51" t="b">
        <x:v>0</x:v>
      </x:c>
      <x:c r="K95" s="51" t="b">
        <x:v>1</x:v>
      </x:c>
      <x:c r="L95" s="51" t="b">
        <x:v>0</x:v>
      </x:c>
      <x:c r="M95" s="51" t="b">
        <x:v>1</x:v>
      </x:c>
      <x:c r="N95" s="51" t="b">
        <x:v>1</x:v>
      </x:c>
    </x:row>
    <x:row r="96">
      <x:c r="A96" t="str">
        <x:v>BHARTIARTL</x:v>
      </x:c>
      <x:c r="B96" s="52" t="n">
        <x:v>44498</x:v>
      </x:c>
      <x:c r="C96" s="53" t="n">
        <x:v>685.35</x:v>
      </x:c>
      <x:c r="D96" s="46" t="n">
        <x:v>0.08484715838622603</x:v>
      </x:c>
      <x:c r="E96" s="46" t="n">
        <x:v>0.07616546290216664</x:v>
      </x:c>
      <x:c r="F96" t="n">
        <x:v>9</x:v>
      </x:c>
      <x:c r="G96" s="51" t="b">
        <x:v>0</x:v>
      </x:c>
      <x:c r="H96" s="51" t="b">
        <x:v>0</x:v>
      </x:c>
      <x:c r="I96" s="51" t="b">
        <x:v>0</x:v>
      </x:c>
      <x:c r="J96" s="51" t="b">
        <x:v>0</x:v>
      </x:c>
      <x:c r="K96" s="51" t="b">
        <x:v>0</x:v>
      </x:c>
      <x:c r="L96" s="51" t="b">
        <x:v>0</x:v>
      </x:c>
      <x:c r="M96" s="51" t="b">
        <x:v>1</x:v>
      </x:c>
      <x:c r="N96" s="51" t="b">
        <x:v>1</x:v>
      </x:c>
    </x:row>
    <x:row r="97">
      <x:c r="A97" t="str">
        <x:v>BHARTIARTL</x:v>
      </x:c>
      <x:c r="B97" s="52" t="n">
        <x:v>44624</x:v>
      </x:c>
      <x:c r="C97" s="53" t="n">
        <x:v>653.7</x:v>
      </x:c>
      <x:c r="D97" s="46" t="n">
        <x:v>0.10585895670796996</x:v>
      </x:c>
      <x:c r="E97" s="46" t="n">
        <x:v>0.08337157717607457</x:v>
      </x:c>
      <x:c r="F97" t="n">
        <x:v>8</x:v>
      </x:c>
      <x:c r="G97" s="51" t="b">
        <x:v>0</x:v>
      </x:c>
      <x:c r="H97" s="51" t="b">
        <x:v>0</x:v>
      </x:c>
      <x:c r="I97" s="51" t="b">
        <x:v>0</x:v>
      </x:c>
      <x:c r="J97" s="51" t="b">
        <x:v>0</x:v>
      </x:c>
      <x:c r="K97" s="51" t="b">
        <x:v>0</x:v>
      </x:c>
      <x:c r="L97" s="51" t="b">
        <x:v>0</x:v>
      </x:c>
      <x:c r="M97" s="51" t="b">
        <x:v>0</x:v>
      </x:c>
      <x:c r="N97" s="51" t="b">
        <x:v>0</x:v>
      </x:c>
    </x:row>
    <x:row r="98">
      <x:c r="A98" t="str">
        <x:v>BHARTIARTL</x:v>
      </x:c>
      <x:c r="B98" s="52" t="n">
        <x:v>44641</x:v>
      </x:c>
      <x:c r="C98" s="53" t="n">
        <x:v>708.2</x:v>
      </x:c>
      <x:c r="D98" s="46" t="n">
        <x:v>0.08415701779158424</x:v>
      </x:c>
      <x:c r="E98" s="46" t="n">
        <x:v>0.08415701779158424</x:v>
      </x:c>
      <x:c r="F98" t="n">
        <x:v>10</x:v>
      </x:c>
      <x:c r="G98" s="51" t="b">
        <x:v>0</x:v>
      </x:c>
      <x:c r="H98" s="51" t="b">
        <x:v>0</x:v>
      </x:c>
      <x:c r="I98" s="51" t="b">
        <x:v>0</x:v>
      </x:c>
      <x:c r="J98" s="51" t="b">
        <x:v>0</x:v>
      </x:c>
      <x:c r="K98" s="51" t="b">
        <x:v>0</x:v>
      </x:c>
      <x:c r="L98" s="51" t="b">
        <x:v>1</x:v>
      </x:c>
      <x:c r="M98" s="51" t="b">
        <x:v>1</x:v>
      </x:c>
      <x:c r="N98" s="51" t="b">
        <x:v>0</x:v>
      </x:c>
    </x:row>
    <x:row r="99">
      <x:c r="A99" t="str">
        <x:v>BHARTIARTL</x:v>
      </x:c>
      <x:c r="B99" s="52" t="n">
        <x:v>44802</x:v>
      </x:c>
      <x:c r="C99" s="53" t="n">
        <x:v>720.6</x:v>
      </x:c>
      <x:c r="D99" s="46" t="n">
        <x:v>0.08832917013599784</x:v>
      </x:c>
      <x:c r="E99" s="46" t="n">
        <x:v>0.08832917013599784</x:v>
      </x:c>
      <x:c r="F99" t="n">
        <x:v>10</x:v>
      </x:c>
      <x:c r="G99" s="51" t="b">
        <x:v>0</x:v>
      </x:c>
      <x:c r="H99" s="51" t="b">
        <x:v>0</x:v>
      </x:c>
      <x:c r="I99" s="51" t="b">
        <x:v>0</x:v>
      </x:c>
      <x:c r="J99" s="51" t="b">
        <x:v>0</x:v>
      </x:c>
      <x:c r="K99" s="51" t="b">
        <x:v>1</x:v>
      </x:c>
      <x:c r="L99" s="51" t="b">
        <x:v>1</x:v>
      </x:c>
      <x:c r="M99" s="51" t="b">
        <x:v>0</x:v>
      </x:c>
      <x:c r="N99" s="51" t="b">
        <x:v>1</x:v>
      </x:c>
    </x:row>
    <x:row r="100">
      <x:c r="A100" t="str">
        <x:v>BHARTIARTL</x:v>
      </x:c>
      <x:c r="B100" s="52" t="n">
        <x:v>44848</x:v>
      </x:c>
      <x:c r="C100" s="53" t="n">
        <x:v>765.95</x:v>
      </x:c>
      <x:c r="D100" s="46" t="n">
        <x:v>0.08623278281872171</x:v>
      </x:c>
      <x:c r="E100" s="46" t="n">
        <x:v>0.08623278281872171</x:v>
      </x:c>
      <x:c r="F100" t="n">
        <x:v>10</x:v>
      </x:c>
      <x:c r="G100" s="51" t="b">
        <x:v>0</x:v>
      </x:c>
      <x:c r="H100" s="51" t="b">
        <x:v>0</x:v>
      </x:c>
      <x:c r="I100" s="51" t="b">
        <x:v>0</x:v>
      </x:c>
      <x:c r="J100" s="51" t="b">
        <x:v>0</x:v>
      </x:c>
      <x:c r="K100" s="51" t="b">
        <x:v>0</x:v>
      </x:c>
      <x:c r="L100" s="51" t="b">
        <x:v>0</x:v>
      </x:c>
      <x:c r="M100" s="51" t="b">
        <x:v>0</x:v>
      </x:c>
      <x:c r="N100" s="51" t="b">
        <x:v>1</x:v>
      </x:c>
    </x:row>
    <x:row r="101">
      <x:c r="A101" t="str">
        <x:v>BHARTIARTL</x:v>
      </x:c>
      <x:c r="B101" s="52" t="n">
        <x:v>45170</x:v>
      </x:c>
      <x:c r="C101" s="53" t="n">
        <x:v>865.95</x:v>
      </x:c>
      <x:c r="D101" s="46" t="n">
        <x:v>0.08106703620301392</x:v>
      </x:c>
      <x:c r="E101" s="46" t="n">
        <x:v>0.08106703620301392</x:v>
      </x:c>
      <x:c r="F101" t="n">
        <x:v>10</x:v>
      </x:c>
      <x:c r="G101" s="51" t="b">
        <x:v>0</x:v>
      </x:c>
      <x:c r="H101" s="51" t="b">
        <x:v>0</x:v>
      </x:c>
      <x:c r="I101" s="51" t="b">
        <x:v>1</x:v>
      </x:c>
      <x:c r="J101" s="51" t="b">
        <x:v>0</x:v>
      </x:c>
      <x:c r="K101" s="51" t="b">
        <x:v>0</x:v>
      </x:c>
      <x:c r="L101" s="51" t="b">
        <x:v>1</x:v>
      </x:c>
      <x:c r="M101" s="51" t="b">
        <x:v>0</x:v>
      </x:c>
      <x:c r="N101" s="51" t="b">
        <x:v>1</x:v>
      </x:c>
    </x:row>
    <x:row r="102">
      <x:c r="A102" t="str">
        <x:v>BHARTIARTL</x:v>
      </x:c>
      <x:c r="B102" s="52" t="n">
        <x:v>45247</x:v>
      </x:c>
      <x:c r="C102" s="53" t="n">
        <x:v>947.3</x:v>
      </x:c>
      <x:c r="D102" s="46" t="n">
        <x:v>0.09036208170590121</x:v>
      </x:c>
      <x:c r="E102" s="46" t="n">
        <x:v>0.09036208170590121</x:v>
      </x:c>
      <x:c r="F102" t="n">
        <x:v>10</x:v>
      </x:c>
      <x:c r="G102" s="51" t="b">
        <x:v>0</x:v>
      </x:c>
      <x:c r="H102" s="51" t="b">
        <x:v>0</x:v>
      </x:c>
      <x:c r="I102" s="51" t="b">
        <x:v>0</x:v>
      </x:c>
      <x:c r="J102" s="51" t="b">
        <x:v>0</x:v>
      </x:c>
      <x:c r="K102" s="51" t="b">
        <x:v>1</x:v>
      </x:c>
      <x:c r="L102" s="51" t="b">
        <x:v>1</x:v>
      </x:c>
      <x:c r="M102" s="51" t="b">
        <x:v>0</x:v>
      </x:c>
      <x:c r="N102" s="51" t="b">
        <x:v>1</x:v>
      </x:c>
    </x:row>
    <x:row r="103">
      <x:c r="A103" t="str">
        <x:v>BHARTIARTL</x:v>
      </x:c>
      <x:c r="B103" s="52" t="n">
        <x:v>45292</x:v>
      </x:c>
      <x:c r="C103" s="53" t="n">
        <x:v>1013.05</x:v>
      </x:c>
      <x:c r="D103" s="46" t="n">
        <x:v>0.08819900301071026</x:v>
      </x:c>
      <x:c r="E103" s="46" t="n">
        <x:v>0.08819900301071026</x:v>
      </x:c>
      <x:c r="F103" t="n">
        <x:v>10</x:v>
      </x:c>
      <x:c r="G103" s="51" t="b">
        <x:v>0</x:v>
      </x:c>
      <x:c r="H103" s="51" t="b">
        <x:v>0</x:v>
      </x:c>
      <x:c r="I103" s="51" t="b">
        <x:v>0</x:v>
      </x:c>
      <x:c r="J103" s="51" t="b">
        <x:v>0</x:v>
      </x:c>
      <x:c r="K103" s="51" t="b">
        <x:v>0</x:v>
      </x:c>
      <x:c r="L103" s="51" t="b">
        <x:v>0</x:v>
      </x:c>
      <x:c r="M103" s="51" t="b">
        <x:v>0</x:v>
      </x:c>
      <x:c r="N103" s="51" t="b">
        <x:v>1</x:v>
      </x:c>
    </x:row>
    <x:row r="104">
      <x:c r="A104" t="str">
        <x:v>BHARTIARTL</x:v>
      </x:c>
      <x:c r="B104" s="52" t="n">
        <x:v>45300</x:v>
      </x:c>
      <x:c r="C104" s="53" t="n">
        <x:v>1064.5</x:v>
      </x:c>
      <x:c r="D104" s="46" t="n">
        <x:v>0.08783466416157815</x:v>
      </x:c>
      <x:c r="E104" s="46" t="n">
        <x:v>0.08783466416157815</x:v>
      </x:c>
      <x:c r="F104" t="n">
        <x:v>10</x:v>
      </x:c>
      <x:c r="G104" s="51" t="b">
        <x:v>0</x:v>
      </x:c>
      <x:c r="H104" s="51" t="b">
        <x:v>0</x:v>
      </x:c>
      <x:c r="I104" s="51" t="b">
        <x:v>0</x:v>
      </x:c>
      <x:c r="J104" s="51" t="b">
        <x:v>0</x:v>
      </x:c>
      <x:c r="K104" s="51" t="b">
        <x:v>0</x:v>
      </x:c>
      <x:c r="L104" s="51" t="b">
        <x:v>0</x:v>
      </x:c>
      <x:c r="M104" s="51" t="b">
        <x:v>0</x:v>
      </x:c>
      <x:c r="N104" s="51" t="b">
        <x:v>1</x:v>
      </x:c>
    </x:row>
    <x:row r="105">
      <x:c r="A105" t="str">
        <x:v>BHARTIARTL</x:v>
      </x:c>
      <x:c r="B105" s="52" t="n">
        <x:v>45348</x:v>
      </x:c>
      <x:c r="C105" s="53" t="n">
        <x:v>1110.05</x:v>
      </x:c>
      <x:c r="D105" s="46" t="n">
        <x:v>0.08076212783207981</x:v>
      </x:c>
      <x:c r="E105" s="46" t="n">
        <x:v>0.07796946083509737</x:v>
      </x:c>
      <x:c r="F105" t="n">
        <x:v>9</x:v>
      </x:c>
      <x:c r="G105" s="51" t="b">
        <x:v>0</x:v>
      </x:c>
      <x:c r="H105" s="51" t="b">
        <x:v>0</x:v>
      </x:c>
      <x:c r="I105" s="51" t="b">
        <x:v>1</x:v>
      </x:c>
      <x:c r="J105" s="51" t="b">
        <x:v>0</x:v>
      </x:c>
      <x:c r="K105" s="51" t="b">
        <x:v>0</x:v>
      </x:c>
      <x:c r="L105" s="51" t="b">
        <x:v>0</x:v>
      </x:c>
      <x:c r="M105" s="51" t="b">
        <x:v>0</x:v>
      </x:c>
      <x:c r="N105" s="51" t="b">
        <x:v>1</x:v>
      </x:c>
    </x:row>
    <x:row r="106">
      <x:c r="A106" t="str">
        <x:v>BHARTIARTL</x:v>
      </x:c>
      <x:c r="B106" s="52" t="n">
        <x:v>45387</x:v>
      </x:c>
      <x:c r="C106" s="53" t="n">
        <x:v>1191</x:v>
      </x:c>
      <x:c r="D106" s="46" t="n">
        <x:v>0.12707808564231726</x:v>
      </x:c>
      <x:c r="E106" s="46" t="n">
        <x:v>0.12707808564231726</x:v>
      </x:c>
      <x:c r="F106" t="n">
        <x:v>8</x:v>
      </x:c>
      <x:c r="G106" s="51" t="b">
        <x:v>0</x:v>
      </x:c>
      <x:c r="H106" s="51" t="b">
        <x:v>0</x:v>
      </x:c>
      <x:c r="I106" s="51" t="b">
        <x:v>0</x:v>
      </x:c>
      <x:c r="J106" s="51" t="b">
        <x:v>0</x:v>
      </x:c>
      <x:c r="K106" s="51" t="b">
        <x:v>1</x:v>
      </x:c>
      <x:c r="L106" s="51" t="b">
        <x:v>0</x:v>
      </x:c>
      <x:c r="M106" s="51" t="b">
        <x:v>0</x:v>
      </x:c>
      <x:c r="N106" s="51" t="b">
        <x:v>1</x:v>
      </x:c>
    </x:row>
    <x:row r="107">
      <x:c r="A107" t="str">
        <x:v>BHARTIARTL</x:v>
      </x:c>
      <x:c r="B107" s="52" t="n">
        <x:v>45426</x:v>
      </x:c>
      <x:c r="C107" s="53" t="n">
        <x:v>1284.3</x:v>
      </x:c>
      <x:c r="D107" s="46" t="n">
        <x:v>0.08113369150510019</x:v>
      </x:c>
      <x:c r="E107" s="46" t="n">
        <x:v>0.06754652339795997</x:v>
      </x:c>
      <x:c r="F107" t="n">
        <x:v>8</x:v>
      </x:c>
      <x:c r="G107" s="51" t="b">
        <x:v>0</x:v>
      </x:c>
      <x:c r="H107" s="51" t="b">
        <x:v>0</x:v>
      </x:c>
      <x:c r="I107" s="51" t="b">
        <x:v>0</x:v>
      </x:c>
      <x:c r="J107" s="51" t="b">
        <x:v>0</x:v>
      </x:c>
      <x:c r="K107" s="51" t="b">
        <x:v>0</x:v>
      </x:c>
      <x:c r="L107" s="51" t="b">
        <x:v>0</x:v>
      </x:c>
      <x:c r="M107" s="51" t="b">
        <x:v>0</x:v>
      </x:c>
      <x:c r="N107" s="51" t="b">
        <x:v>0</x:v>
      </x:c>
    </x:row>
    <x:row r="108">
      <x:c r="A108" t="str">
        <x:v>BHARTIARTL</x:v>
      </x:c>
      <x:c r="B108" s="52" t="n">
        <x:v>45447</x:v>
      </x:c>
      <x:c r="C108" s="53" t="n">
        <x:v>1299.7</x:v>
      </x:c>
      <x:c r="D108" s="46" t="n">
        <x:v>0.1067169346772332</x:v>
      </x:c>
      <x:c r="E108" s="46" t="n">
        <x:v>0.0712856813110716</x:v>
      </x:c>
      <x:c r="F108" t="n">
        <x:v>3</x:v>
      </x:c>
      <x:c r="G108" s="51" t="b">
        <x:v>0</x:v>
      </x:c>
      <x:c r="H108" s="51" t="b">
        <x:v>0</x:v>
      </x:c>
      <x:c r="I108" s="51" t="b">
        <x:v>0</x:v>
      </x:c>
      <x:c r="J108" s="51" t="b">
        <x:v>0</x:v>
      </x:c>
      <x:c r="K108" s="51" t="b">
        <x:v>1</x:v>
      </x:c>
      <x:c r="L108" s="51" t="b">
        <x:v>0</x:v>
      </x:c>
      <x:c r="M108" s="51" t="b">
        <x:v>0</x:v>
      </x:c>
      <x:c r="N108" s="51" t="b">
        <x:v>0</x:v>
      </x:c>
    </x:row>
    <x:row r="109">
      <x:c r="A109" t="str">
        <x:v>BHARTIARTL</x:v>
      </x:c>
      <x:c r="B109" s="52" t="n">
        <x:v>45523</x:v>
      </x:c>
      <x:c r="C109" s="53" t="n">
        <x:v>1469.65</x:v>
      </x:c>
      <x:c r="D109" s="46" t="n">
        <x:v>0.081243833565815</x:v>
      </x:c>
      <x:c r="E109" s="46" t="n">
        <x:v>0.0692001496955057</x:v>
      </x:c>
      <x:c r="F109" t="n">
        <x:v>9</x:v>
      </x:c>
      <x:c r="G109" s="51" t="b">
        <x:v>0</x:v>
      </x:c>
      <x:c r="H109" s="51" t="b">
        <x:v>0</x:v>
      </x:c>
      <x:c r="I109" s="51" t="b">
        <x:v>0</x:v>
      </x:c>
      <x:c r="J109" s="51" t="b">
        <x:v>0</x:v>
      </x:c>
      <x:c r="K109" s="51" t="b">
        <x:v>0</x:v>
      </x:c>
      <x:c r="L109" s="51" t="b">
        <x:v>1</x:v>
      </x:c>
      <x:c r="M109" s="51" t="b">
        <x:v>0</x:v>
      </x:c>
      <x:c r="N109" s="51" t="b">
        <x:v>0</x:v>
      </x:c>
    </x:row>
    <x:row r="110">
      <x:c r="A110" t="str">
        <x:v>BHARTIARTL</x:v>
      </x:c>
      <x:c r="B110" s="52" t="n">
        <x:v>45541</x:v>
      </x:c>
      <x:c r="C110" s="53" t="n">
        <x:v>1539.25</x:v>
      </x:c>
      <x:c r="D110" s="46" t="n">
        <x:v>0.11206756537274654</x:v>
      </x:c>
      <x:c r="E110" s="46" t="n">
        <x:v>0.11206756537274654</x:v>
      </x:c>
      <x:c r="F110" t="n">
        <x:v>9</x:v>
      </x:c>
      <x:c r="G110" s="51" t="b">
        <x:v>0</x:v>
      </x:c>
      <x:c r="H110" s="51" t="b">
        <x:v>0</x:v>
      </x:c>
      <x:c r="I110" s="51" t="b">
        <x:v>0</x:v>
      </x:c>
      <x:c r="J110" s="51" t="b">
        <x:v>0</x:v>
      </x:c>
      <x:c r="K110" s="51" t="b">
        <x:v>1</x:v>
      </x:c>
      <x:c r="L110" s="51" t="b">
        <x:v>0</x:v>
      </x:c>
      <x:c r="M110" s="51" t="b">
        <x:v>0</x:v>
      </x:c>
      <x:c r="N110" s="51" t="b">
        <x:v>0</x:v>
      </x:c>
    </x:row>
    <x:row r="111">
      <x:c r="A111" t="str">
        <x:v>BHARTIARTL</x:v>
      </x:c>
      <x:c r="B111" s="52" t="n">
        <x:v>45748</x:v>
      </x:c>
      <x:c r="C111" s="53" t="n">
        <x:v>1724.15</x:v>
      </x:c>
      <x:c r="D111" s="46" t="n">
        <x:v>0.09567033030768779</x:v>
      </x:c>
      <x:c r="E111" s="46" t="n">
        <x:v>0.09567033030768779</x:v>
      </x:c>
      <x:c r="F111" t="n">
        <x:v>10</x:v>
      </x:c>
      <x:c r="G111" s="51" t="b">
        <x:v>0</x:v>
      </x:c>
      <x:c r="H111" s="51" t="b">
        <x:v>0</x:v>
      </x:c>
      <x:c r="I111" s="51" t="b">
        <x:v>0</x:v>
      </x:c>
      <x:c r="J111" s="51" t="b">
        <x:v>0</x:v>
      </x:c>
      <x:c r="K111" s="51" t="b">
        <x:v>1</x:v>
      </x:c>
      <x:c r="L111" s="51" t="b">
        <x:v>0</x:v>
      </x:c>
      <x:c r="M111" s="51" t="b">
        <x:v>0</x:v>
      </x:c>
      <x:c r="N111" s="51" t="b">
        <x:v>0</x:v>
      </x:c>
    </x:row>
    <x:row r="112">
      <x:c r="A112" t="str">
        <x:v>BHARTIARTL</x:v>
      </x:c>
      <x:c r="B112" s="52" t="n">
        <x:v>45820</x:v>
      </x:c>
      <x:c r="C112" s="53" t="n">
        <x:v>1844.2</x:v>
      </x:c>
      <x:c r="D112" s="46" t="n">
        <x:v>0.09223511549723451</x:v>
      </x:c>
      <x:c r="E112" s="46" t="n">
        <x:v>0.09223511549723451</x:v>
      </x:c>
      <x:c r="F112" t="n">
        <x:v>10</x:v>
      </x:c>
      <x:c r="G112" s="51" t="b">
        <x:v>0</x:v>
      </x:c>
      <x:c r="H112" s="51" t="b">
        <x:v>0</x:v>
      </x:c>
      <x:c r="I112" s="51" t="b">
        <x:v>0</x:v>
      </x:c>
      <x:c r="J112" s="51" t="b">
        <x:v>0</x:v>
      </x:c>
      <x:c r="K112" s="51" t="b">
        <x:v>0</x:v>
      </x:c>
      <x:c r="L112" s="51" t="b">
        <x:v>0</x:v>
      </x:c>
      <x:c r="M112" s="51" t="b">
        <x:v>0</x:v>
      </x:c>
      <x:c r="N112" s="51" t="b">
        <x:v>0</x:v>
      </x:c>
    </x:row>
    <x:row r="113">
      <x:c r="A113" t="str">
        <x:v>BHARTIARTL</x:v>
      </x:c>
      <x:c r="B113" s="52" t="n">
        <x:v>45968</x:v>
      </x:c>
      <x:c r="C113" s="53" t="n">
        <x:v>2001.2</x:v>
      </x:c>
      <x:c r="D113" s="46" t="n">
        <x:v>0.08070157905256825</x:v>
      </x:c>
      <x:c r="E113" s="46" t="n">
        <x:v>0.08070157905256825</x:v>
      </x:c>
      <x:c r="F113" t="n">
        <x:v>10</x:v>
      </x:c>
      <x:c r="G113" s="51" t="b">
        <x:v>0</x:v>
      </x:c>
      <x:c r="H113" s="51" t="b">
        <x:v>0</x:v>
      </x:c>
      <x:c r="I113" s="51" t="b">
        <x:v>0</x:v>
      </x:c>
      <x:c r="J113" s="51" t="b">
        <x:v>0</x:v>
      </x:c>
      <x:c r="K113" s="51" t="b">
        <x:v>0</x:v>
      </x:c>
      <x:c r="L113" s="51" t="b">
        <x:v>1</x:v>
      </x:c>
      <x:c r="M113" s="51" t="b">
        <x:v>0</x:v>
      </x:c>
      <x:c r="N113" s="51" t="b">
        <x:v>0</x:v>
      </x:c>
    </x:row>
    <x:row r="114">
      <x:c r="A114" t="str">
        <x:v>BHARTIARTL</x:v>
      </x:c>
      <x:c r="B114" s="52" t="n">
        <x:v>46153</x:v>
      </x:c>
      <x:c r="C114" s="53" t="n">
        <x:v>1759.8</x:v>
      </x:c>
      <x:c r="D114" s="46" t="n">
        <x:v>0.10131833162859416</x:v>
      </x:c>
      <x:c r="E114" s="46" t="n">
        <x:v>0.06534833503807258</x:v>
      </x:c>
      <x:c r="F114" t="n">
        <x:v>4</x:v>
      </x:c>
      <x:c r="G114" s="51" t="b">
        <x:v>0</x:v>
      </x:c>
      <x:c r="H114" s="51" t="b">
        <x:v>0</x:v>
      </x:c>
      <x:c r="I114" s="51" t="b">
        <x:v>0</x:v>
      </x:c>
      <x:c r="J114" s="51" t="b">
        <x:v>0</x:v>
      </x:c>
      <x:c r="K114" s="51" t="b">
        <x:v>0</x:v>
      </x:c>
      <x:c r="L114" s="51" t="b">
        <x:v>1</x:v>
      </x:c>
      <x:c r="M114" s="51" t="b">
        <x:v>0</x:v>
      </x:c>
      <x:c r="N114" s="51" t="b">
        <x:v>0</x:v>
      </x:c>
    </x:row>
    <x:row r="115">
      <x:c r="A115" t="str">
        <x:v>DRREDDY</x:v>
      </x:c>
      <x:c r="B115" s="52" t="n">
        <x:v>42412</x:v>
      </x:c>
      <x:c r="C115" s="53" t="n">
        <x:v>2847.45</x:v>
      </x:c>
      <x:c r="D115" s="46" t="n">
        <x:v>0.09150292366854562</x:v>
      </x:c>
      <x:c r="E115" s="46" t="n">
        <x:v>0.051484661714867874</x:v>
      </x:c>
      <x:c r="F115" t="n">
        <x:v>4</x:v>
      </x:c>
      <x:c r="G115" s="51" t="b">
        <x:v>0</x:v>
      </x:c>
      <x:c r="H115" s="51" t="b">
        <x:v>0</x:v>
      </x:c>
      <x:c r="I115" s="51" t="b">
        <x:v>0</x:v>
      </x:c>
      <x:c r="J115" s="51" t="b">
        <x:v>0</x:v>
      </x:c>
      <x:c r="K115" s="51" t="b">
        <x:v>0</x:v>
      </x:c>
      <x:c r="L115" s="51" t="b">
        <x:v>0</x:v>
      </x:c>
      <x:c r="M115" s="51" t="b">
        <x:v>0</x:v>
      </x:c>
      <x:c r="N115" s="51" t="b">
        <x:v>0</x:v>
      </x:c>
    </x:row>
    <x:row r="116">
      <x:c r="A116" t="str">
        <x:v>DRREDDY</x:v>
      </x:c>
      <x:c r="B116" s="52" t="n">
        <x:v>42425</x:v>
      </x:c>
      <x:c r="C116" s="53" t="n">
        <x:v>2994.45</x:v>
      </x:c>
      <x:c r="D116" s="46" t="n">
        <x:v>0.0862595802234134</x:v>
      </x:c>
      <x:c r="E116" s="46" t="n">
        <x:v>0.072267027333901</x:v>
      </x:c>
      <x:c r="F116" t="n">
        <x:v>6</x:v>
      </x:c>
      <x:c r="G116" s="51" t="b">
        <x:v>0</x:v>
      </x:c>
      <x:c r="H116" s="51" t="b">
        <x:v>0</x:v>
      </x:c>
      <x:c r="I116" s="51" t="b">
        <x:v>0</x:v>
      </x:c>
      <x:c r="J116" s="51" t="b">
        <x:v>0</x:v>
      </x:c>
      <x:c r="K116" s="51" t="b">
        <x:v>0</x:v>
      </x:c>
      <x:c r="L116" s="51" t="b">
        <x:v>0</x:v>
      </x:c>
      <x:c r="M116" s="51" t="b">
        <x:v>0</x:v>
      </x:c>
      <x:c r="N116" s="51" t="b">
        <x:v>0</x:v>
      </x:c>
    </x:row>
    <x:row r="117">
      <x:c r="A117" t="str">
        <x:v>DRREDDY</x:v>
      </x:c>
      <x:c r="B117" s="52" t="n">
        <x:v>42537</x:v>
      </x:c>
      <x:c r="C117" s="53" t="n">
        <x:v>3048.25</x:v>
      </x:c>
      <x:c r="D117" s="46" t="n">
        <x:v>0.10939063397031079</x:v>
      </x:c>
      <x:c r="E117" s="46" t="n">
        <x:v>0.10939063397031079</x:v>
      </x:c>
      <x:c r="F117" t="n">
        <x:v>10</x:v>
      </x:c>
      <x:c r="G117" s="51" t="b">
        <x:v>0</x:v>
      </x:c>
      <x:c r="H117" s="51" t="b">
        <x:v>0</x:v>
      </x:c>
      <x:c r="I117" s="51" t="b">
        <x:v>0</x:v>
      </x:c>
      <x:c r="J117" s="51" t="b">
        <x:v>0</x:v>
      </x:c>
      <x:c r="K117" s="51" t="b">
        <x:v>0</x:v>
      </x:c>
      <x:c r="L117" s="51" t="b">
        <x:v>1</x:v>
      </x:c>
      <x:c r="M117" s="51" t="b">
        <x:v>1</x:v>
      </x:c>
      <x:c r="N117" s="51" t="b">
        <x:v>0</x:v>
      </x:c>
    </x:row>
    <x:row r="118">
      <x:c r="A118" t="str">
        <x:v>DRREDDY</x:v>
      </x:c>
      <x:c r="B118" s="52" t="n">
        <x:v>42656</x:v>
      </x:c>
      <x:c r="C118" s="53" t="n">
        <x:v>3050.15</x:v>
      </x:c>
      <x:c r="D118" s="46" t="n">
        <x:v>0.09004475189744765</x:v>
      </x:c>
      <x:c r="E118" s="46" t="n">
        <x:v>0.09004475189744765</x:v>
      </x:c>
      <x:c r="F118" t="n">
        <x:v>10</x:v>
      </x:c>
      <x:c r="G118" s="51" t="b">
        <x:v>0</x:v>
      </x:c>
      <x:c r="H118" s="51" t="b">
        <x:v>0</x:v>
      </x:c>
      <x:c r="I118" s="51" t="b">
        <x:v>0</x:v>
      </x:c>
      <x:c r="J118" s="51" t="b">
        <x:v>0</x:v>
      </x:c>
      <x:c r="K118" s="51" t="b">
        <x:v>0</x:v>
      </x:c>
      <x:c r="L118" s="51" t="b">
        <x:v>1</x:v>
      </x:c>
      <x:c r="M118" s="51" t="b">
        <x:v>1</x:v>
      </x:c>
      <x:c r="N118" s="51" t="b">
        <x:v>0</x:v>
      </x:c>
    </x:row>
    <x:row r="119">
      <x:c r="A119" t="str">
        <x:v>DRREDDY</x:v>
      </x:c>
      <x:c r="B119" s="52" t="n">
        <x:v>42880</x:v>
      </x:c>
      <x:c r="C119" s="53" t="n">
        <x:v>2427.7</x:v>
      </x:c>
      <x:c r="D119" s="46" t="n">
        <x:v>0.08590435391522844</x:v>
      </x:c>
      <x:c r="E119" s="46" t="n">
        <x:v>0.08590435391522844</x:v>
      </x:c>
      <x:c r="F119" t="n">
        <x:v>10</x:v>
      </x:c>
      <x:c r="G119" s="51" t="b">
        <x:v>0</x:v>
      </x:c>
      <x:c r="H119" s="51" t="b">
        <x:v>0</x:v>
      </x:c>
      <x:c r="I119" s="51" t="b">
        <x:v>0</x:v>
      </x:c>
      <x:c r="J119" s="51" t="b">
        <x:v>0</x:v>
      </x:c>
      <x:c r="K119" s="51" t="b">
        <x:v>0</x:v>
      </x:c>
      <x:c r="L119" s="51" t="b">
        <x:v>1</x:v>
      </x:c>
      <x:c r="M119" s="51" t="b">
        <x:v>1</x:v>
      </x:c>
      <x:c r="N119" s="51" t="b">
        <x:v>0</x:v>
      </x:c>
    </x:row>
    <x:row r="120">
      <x:c r="A120" t="str">
        <x:v>DRREDDY</x:v>
      </x:c>
      <x:c r="B120" s="52" t="n">
        <x:v>42964</x:v>
      </x:c>
      <x:c r="C120" s="53" t="n">
        <x:v>2011.25</x:v>
      </x:c>
      <x:c r="D120" s="46" t="n">
        <x:v>0.10257302672467383</x:v>
      </x:c>
      <x:c r="E120" s="46" t="n">
        <x:v>0.10257302672467383</x:v>
      </x:c>
      <x:c r="F120" t="n">
        <x:v>10</x:v>
      </x:c>
      <x:c r="G120" s="51" t="b">
        <x:v>0</x:v>
      </x:c>
      <x:c r="H120" s="51" t="b">
        <x:v>0</x:v>
      </x:c>
      <x:c r="I120" s="51" t="b">
        <x:v>0</x:v>
      </x:c>
      <x:c r="J120" s="51" t="b">
        <x:v>0</x:v>
      </x:c>
      <x:c r="K120" s="51" t="b">
        <x:v>0</x:v>
      </x:c>
      <x:c r="L120" s="51" t="b">
        <x:v>0</x:v>
      </x:c>
      <x:c r="M120" s="51" t="b">
        <x:v>1</x:v>
      </x:c>
      <x:c r="N120" s="51" t="b">
        <x:v>0</x:v>
      </x:c>
    </x:row>
    <x:row r="121">
      <x:c r="A121" t="str">
        <x:v>DRREDDY</x:v>
      </x:c>
      <x:c r="B121" s="52" t="n">
        <x:v>43074</x:v>
      </x:c>
      <x:c r="C121" s="53" t="n">
        <x:v>2209.35</x:v>
      </x:c>
      <x:c r="D121" s="46" t="n">
        <x:v>0.08606603752234832</x:v>
      </x:c>
      <x:c r="E121" s="46" t="n">
        <x:v>0.08606603752234832</x:v>
      </x:c>
      <x:c r="F121" t="n">
        <x:v>9</x:v>
      </x:c>
      <x:c r="G121" s="51" t="b">
        <x:v>0</x:v>
      </x:c>
      <x:c r="H121" s="51" t="b">
        <x:v>0</x:v>
      </x:c>
      <x:c r="I121" s="51" t="b">
        <x:v>0</x:v>
      </x:c>
      <x:c r="J121" s="51" t="b">
        <x:v>0</x:v>
      </x:c>
      <x:c r="K121" s="51" t="b">
        <x:v>0</x:v>
      </x:c>
      <x:c r="L121" s="51" t="b">
        <x:v>0</x:v>
      </x:c>
      <x:c r="M121" s="51" t="b">
        <x:v>1</x:v>
      </x:c>
      <x:c r="N121" s="51" t="b">
        <x:v>0</x:v>
      </x:c>
    </x:row>
    <x:row r="122">
      <x:c r="A122" t="str">
        <x:v>DRREDDY</x:v>
      </x:c>
      <x:c r="B122" s="52" t="n">
        <x:v>43249</x:v>
      </x:c>
      <x:c r="C122" s="53" t="n">
        <x:v>1980.7</x:v>
      </x:c>
      <x:c r="D122" s="46" t="n">
        <x:v>0.10599787953753737</x:v>
      </x:c>
      <x:c r="E122" s="46" t="n">
        <x:v>0.10599787953753737</x:v>
      </x:c>
      <x:c r="F122" t="n">
        <x:v>10</x:v>
      </x:c>
      <x:c r="G122" s="51" t="b">
        <x:v>0</x:v>
      </x:c>
      <x:c r="H122" s="51" t="b">
        <x:v>0</x:v>
      </x:c>
      <x:c r="I122" s="51" t="b">
        <x:v>1</x:v>
      </x:c>
      <x:c r="J122" s="51" t="b">
        <x:v>0</x:v>
      </x:c>
      <x:c r="K122" s="51" t="b">
        <x:v>0</x:v>
      </x:c>
      <x:c r="L122" s="51" t="b">
        <x:v>1</x:v>
      </x:c>
      <x:c r="M122" s="51" t="b">
        <x:v>0</x:v>
      </x:c>
      <x:c r="N122" s="51" t="b">
        <x:v>1</x:v>
      </x:c>
    </x:row>
    <x:row r="123">
      <x:c r="A123" t="str">
        <x:v>DRREDDY</x:v>
      </x:c>
      <x:c r="B123" s="52" t="n">
        <x:v>43300</x:v>
      </x:c>
      <x:c r="C123" s="53" t="n">
        <x:v>2029.2</x:v>
      </x:c>
      <x:c r="D123" s="46" t="n">
        <x:v>0.09789572245219791</x:v>
      </x:c>
      <x:c r="E123" s="46" t="n">
        <x:v>0.09789572245219791</x:v>
      </x:c>
      <x:c r="F123" t="n">
        <x:v>10</x:v>
      </x:c>
      <x:c r="G123" s="51" t="b">
        <x:v>0</x:v>
      </x:c>
      <x:c r="H123" s="51" t="b">
        <x:v>0</x:v>
      </x:c>
      <x:c r="I123" s="51" t="b">
        <x:v>0</x:v>
      </x:c>
      <x:c r="J123" s="51" t="b">
        <x:v>0</x:v>
      </x:c>
      <x:c r="K123" s="51" t="b">
        <x:v>0</x:v>
      </x:c>
      <x:c r="L123" s="51" t="b">
        <x:v>1</x:v>
      </x:c>
      <x:c r="M123" s="51" t="b">
        <x:v>1</x:v>
      </x:c>
      <x:c r="N123" s="51" t="b">
        <x:v>1</x:v>
      </x:c>
    </x:row>
    <x:row r="124">
      <x:c r="A124" t="str">
        <x:v>DRREDDY</x:v>
      </x:c>
      <x:c r="B124" s="52" t="n">
        <x:v>43377</x:v>
      </x:c>
      <x:c r="C124" s="53" t="n">
        <x:v>2372.45</x:v>
      </x:c>
      <x:c r="D124" s="46" t="n">
        <x:v>0.08478576998461507</x:v>
      </x:c>
      <x:c r="E124" s="46" t="n">
        <x:v>0.07582878458977005</x:v>
      </x:c>
      <x:c r="F124" t="n">
        <x:v>7</x:v>
      </x:c>
      <x:c r="G124" s="51" t="b">
        <x:v>0</x:v>
      </x:c>
      <x:c r="H124" s="51" t="b">
        <x:v>0</x:v>
      </x:c>
      <x:c r="I124" s="51" t="b">
        <x:v>0</x:v>
      </x:c>
      <x:c r="J124" s="51" t="b">
        <x:v>0</x:v>
      </x:c>
      <x:c r="K124" s="51" t="b">
        <x:v>0</x:v>
      </x:c>
      <x:c r="L124" s="51" t="b">
        <x:v>1</x:v>
      </x:c>
      <x:c r="M124" s="51" t="b">
        <x:v>0</x:v>
      </x:c>
      <x:c r="N124" s="51" t="b">
        <x:v>1</x:v>
      </x:c>
    </x:row>
    <x:row r="125">
      <x:c r="A125" t="str">
        <x:v>DRREDDY</x:v>
      </x:c>
      <x:c r="B125" s="52" t="n">
        <x:v>43398</x:v>
      </x:c>
      <x:c r="C125" s="53" t="n">
        <x:v>2390.5</x:v>
      </x:c>
      <x:c r="D125" s="46" t="n">
        <x:v>0.08525413093495082</x:v>
      </x:c>
      <x:c r="E125" s="46" t="n">
        <x:v>0.003974064003346545</x:v>
      </x:c>
      <x:c r="F125" t="n">
        <x:v>3</x:v>
      </x:c>
      <x:c r="G125" s="51" t="b">
        <x:v>0</x:v>
      </x:c>
      <x:c r="H125" s="51" t="b">
        <x:v>0</x:v>
      </x:c>
      <x:c r="I125" s="51" t="b">
        <x:v>0</x:v>
      </x:c>
      <x:c r="J125" s="51" t="b">
        <x:v>0</x:v>
      </x:c>
      <x:c r="K125" s="51" t="b">
        <x:v>0</x:v>
      </x:c>
      <x:c r="L125" s="51" t="b">
        <x:v>1</x:v>
      </x:c>
      <x:c r="M125" s="51" t="b">
        <x:v>0</x:v>
      </x:c>
      <x:c r="N125" s="51" t="b">
        <x:v>1</x:v>
      </x:c>
    </x:row>
    <x:row r="126">
      <x:c r="A126" t="str">
        <x:v>DRREDDY</x:v>
      </x:c>
      <x:c r="B126" s="52" t="n">
        <x:v>43413</x:v>
      </x:c>
      <x:c r="C126" s="53" t="n">
        <x:v>2400</x:v>
      </x:c>
      <x:c r="D126" s="46" t="n">
        <x:v>0.08695833333333325</x:v>
      </x:c>
      <x:c r="E126" s="46" t="n">
        <x:v>0.06608333333333327</x:v>
      </x:c>
      <x:c r="F126" t="n">
        <x:v>8</x:v>
      </x:c>
      <x:c r="G126" s="51" t="b">
        <x:v>0</x:v>
      </x:c>
      <x:c r="H126" s="51" t="b">
        <x:v>0</x:v>
      </x:c>
      <x:c r="I126" s="51" t="b">
        <x:v>0</x:v>
      </x:c>
      <x:c r="J126" s="51" t="b">
        <x:v>0</x:v>
      </x:c>
      <x:c r="K126" s="51" t="b">
        <x:v>0</x:v>
      </x:c>
      <x:c r="L126" s="51" t="b">
        <x:v>1</x:v>
      </x:c>
      <x:c r="M126" s="51" t="b">
        <x:v>0</x:v>
      </x:c>
      <x:c r="N126" s="51" t="b">
        <x:v>1</x:v>
      </x:c>
    </x:row>
    <x:row r="127">
      <x:c r="A127" t="str">
        <x:v>DRREDDY</x:v>
      </x:c>
      <x:c r="B127" s="52" t="n">
        <x:v>43700</x:v>
      </x:c>
      <x:c r="C127" s="53" t="n">
        <x:v>2541.25</x:v>
      </x:c>
      <x:c r="D127" s="46" t="n">
        <x:v>0.08182980816527285</x:v>
      </x:c>
      <x:c r="E127" s="46" t="n">
        <x:v>0.08182980816527285</x:v>
      </x:c>
      <x:c r="F127" t="n">
        <x:v>10</x:v>
      </x:c>
      <x:c r="G127" s="51" t="b">
        <x:v>0</x:v>
      </x:c>
      <x:c r="H127" s="51" t="b">
        <x:v>0</x:v>
      </x:c>
      <x:c r="I127" s="51" t="b">
        <x:v>1</x:v>
      </x:c>
      <x:c r="J127" s="51" t="b">
        <x:v>0</x:v>
      </x:c>
      <x:c r="K127" s="51" t="b">
        <x:v>0</x:v>
      </x:c>
      <x:c r="L127" s="51" t="b">
        <x:v>1</x:v>
      </x:c>
      <x:c r="M127" s="51" t="b">
        <x:v>0</x:v>
      </x:c>
      <x:c r="N127" s="51" t="b">
        <x:v>1</x:v>
      </x:c>
    </x:row>
    <x:row r="128">
      <x:c r="A128" t="str">
        <x:v>DRREDDY</x:v>
      </x:c>
      <x:c r="B128" s="52" t="n">
        <x:v>43745</x:v>
      </x:c>
      <x:c r="C128" s="53" t="n">
        <x:v>2616.45</x:v>
      </x:c>
      <x:c r="D128" s="46" t="n">
        <x:v>0.08035697223336968</x:v>
      </x:c>
      <x:c r="E128" s="46" t="n">
        <x:v>0.08035697223336968</x:v>
      </x:c>
      <x:c r="F128" t="n">
        <x:v>10</x:v>
      </x:c>
      <x:c r="G128" s="51" t="b">
        <x:v>0</x:v>
      </x:c>
      <x:c r="H128" s="51" t="b">
        <x:v>0</x:v>
      </x:c>
      <x:c r="I128" s="51" t="b">
        <x:v>0</x:v>
      </x:c>
      <x:c r="J128" s="51" t="b">
        <x:v>0</x:v>
      </x:c>
      <x:c r="K128" s="51" t="b">
        <x:v>0</x:v>
      </x:c>
      <x:c r="L128" s="51" t="b">
        <x:v>0</x:v>
      </x:c>
      <x:c r="M128" s="51" t="b">
        <x:v>0</x:v>
      </x:c>
      <x:c r="N128" s="51" t="b">
        <x:v>1</x:v>
      </x:c>
    </x:row>
    <x:row r="129">
      <x:c r="A129" t="str">
        <x:v>DRREDDY</x:v>
      </x:c>
      <x:c r="B129" s="52" t="n">
        <x:v>43783</x:v>
      </x:c>
      <x:c r="C129" s="53" t="n">
        <x:v>2734.05</x:v>
      </x:c>
      <x:c r="D129" s="46" t="n">
        <x:v>0.08876940802106748</x:v>
      </x:c>
      <x:c r="E129" s="46" t="n">
        <x:v>0.08876940802106748</x:v>
      </x:c>
      <x:c r="F129" t="n">
        <x:v>8</x:v>
      </x:c>
      <x:c r="G129" s="51" t="b">
        <x:v>0</x:v>
      </x:c>
      <x:c r="H129" s="51" t="b">
        <x:v>0</x:v>
      </x:c>
      <x:c r="I129" s="51" t="b">
        <x:v>0</x:v>
      </x:c>
      <x:c r="J129" s="51" t="b">
        <x:v>0</x:v>
      </x:c>
      <x:c r="K129" s="51" t="b">
        <x:v>0</x:v>
      </x:c>
      <x:c r="L129" s="51" t="b">
        <x:v>1</x:v>
      </x:c>
      <x:c r="M129" s="51" t="b">
        <x:v>0</x:v>
      </x:c>
      <x:c r="N129" s="51" t="b">
        <x:v>1</x:v>
      </x:c>
    </x:row>
    <x:row r="130">
      <x:c r="A130" t="str">
        <x:v>DRREDDY</x:v>
      </x:c>
      <x:c r="B130" s="52" t="n">
        <x:v>43844</x:v>
      </x:c>
      <x:c r="C130" s="53" t="n">
        <x:v>2947.8</x:v>
      </x:c>
      <x:c r="D130" s="46" t="n">
        <x:v>0.08187461835945453</x:v>
      </x:c>
      <x:c r="E130" s="46" t="n">
        <x:v>0.08187461835945453</x:v>
      </x:c>
      <x:c r="F130" t="n">
        <x:v>9</x:v>
      </x:c>
      <x:c r="G130" s="51" t="b">
        <x:v>0</x:v>
      </x:c>
      <x:c r="H130" s="51" t="b">
        <x:v>0</x:v>
      </x:c>
      <x:c r="I130" s="51" t="b">
        <x:v>0</x:v>
      </x:c>
      <x:c r="J130" s="51" t="b">
        <x:v>0</x:v>
      </x:c>
      <x:c r="K130" s="51" t="b">
        <x:v>1</x:v>
      </x:c>
      <x:c r="L130" s="51" t="b">
        <x:v>1</x:v>
      </x:c>
      <x:c r="M130" s="51" t="b">
        <x:v>1</x:v>
      </x:c>
      <x:c r="N130" s="51" t="b">
        <x:v>1</x:v>
      </x:c>
    </x:row>
    <x:row r="131">
      <x:c r="A131" t="str">
        <x:v>DRREDDY</x:v>
      </x:c>
      <x:c r="B131" s="52" t="n">
        <x:v>43889</x:v>
      </x:c>
      <x:c r="C131" s="53" t="n">
        <x:v>2927.1</x:v>
      </x:c>
      <x:c r="D131" s="46" t="n">
        <x:v>0.08791978408663859</x:v>
      </x:c>
      <x:c r="E131" s="46" t="n">
        <x:v>-0.034214751802124965</x:v>
      </x:c>
      <x:c r="F131" t="n">
        <x:v>3</x:v>
      </x:c>
      <x:c r="G131" s="51" t="b">
        <x:v>0</x:v>
      </x:c>
      <x:c r="H131" s="51" t="b">
        <x:v>0</x:v>
      </x:c>
      <x:c r="I131" s="51" t="b">
        <x:v>0</x:v>
      </x:c>
      <x:c r="J131" s="51" t="b">
        <x:v>0</x:v>
      </x:c>
      <x:c r="K131" s="51" t="b">
        <x:v>0</x:v>
      </x:c>
      <x:c r="L131" s="51" t="b">
        <x:v>0</x:v>
      </x:c>
      <x:c r="M131" s="51" t="b">
        <x:v>0</x:v>
      </x:c>
      <x:c r="N131" s="51" t="b">
        <x:v>0</x:v>
      </x:c>
    </x:row>
    <x:row r="132">
      <x:c r="A132" t="str">
        <x:v>DRREDDY</x:v>
      </x:c>
      <x:c r="B132" s="52" t="n">
        <x:v>43907</x:v>
      </x:c>
      <x:c r="C132" s="53" t="n">
        <x:v>2781.2</x:v>
      </x:c>
      <x:c r="D132" s="46" t="n">
        <x:v>0.12208758809147136</x:v>
      </x:c>
      <x:c r="E132" s="46" t="n">
        <x:v>0.12208758809147136</x:v>
      </x:c>
      <x:c r="F132" t="n">
        <x:v>10</x:v>
      </x:c>
      <x:c r="G132" s="51" t="b">
        <x:v>0</x:v>
      </x:c>
      <x:c r="H132" s="51" t="b">
        <x:v>0</x:v>
      </x:c>
      <x:c r="I132" s="51" t="b">
        <x:v>0</x:v>
      </x:c>
      <x:c r="J132" s="51" t="b">
        <x:v>0</x:v>
      </x:c>
      <x:c r="K132" s="51" t="b">
        <x:v>0</x:v>
      </x:c>
      <x:c r="L132" s="51" t="b">
        <x:v>1</x:v>
      </x:c>
      <x:c r="M132" s="51" t="b">
        <x:v>0</x:v>
      </x:c>
      <x:c r="N132" s="51" t="b">
        <x:v>0</x:v>
      </x:c>
    </x:row>
    <x:row r="133">
      <x:c r="A133" t="str">
        <x:v>DRREDDY</x:v>
      </x:c>
      <x:c r="B133" s="52" t="n">
        <x:v>43965</x:v>
      </x:c>
      <x:c r="C133" s="53" t="n">
        <x:v>3732</x:v>
      </x:c>
      <x:c r="D133" s="46" t="n">
        <x:v>0.09090300107181126</x:v>
      </x:c>
      <x:c r="E133" s="46" t="n">
        <x:v>0.09090300107181126</x:v>
      </x:c>
      <x:c r="F133" t="n">
        <x:v>10</x:v>
      </x:c>
      <x:c r="G133" s="51" t="b">
        <x:v>0</x:v>
      </x:c>
      <x:c r="H133" s="51" t="b">
        <x:v>0</x:v>
      </x:c>
      <x:c r="I133" s="51" t="b">
        <x:v>0</x:v>
      </x:c>
      <x:c r="J133" s="51" t="b">
        <x:v>0</x:v>
      </x:c>
      <x:c r="K133" s="51" t="b">
        <x:v>0</x:v>
      </x:c>
      <x:c r="L133" s="51" t="b">
        <x:v>1</x:v>
      </x:c>
      <x:c r="M133" s="51" t="b">
        <x:v>0</x:v>
      </x:c>
      <x:c r="N133" s="51" t="b">
        <x:v>0</x:v>
      </x:c>
    </x:row>
    <x:row r="134">
      <x:c r="A134" t="str">
        <x:v>DRREDDY</x:v>
      </x:c>
      <x:c r="B134" s="52" t="n">
        <x:v>44019</x:v>
      </x:c>
      <x:c r="C134" s="53" t="n">
        <x:v>3823.5</x:v>
      </x:c>
      <x:c r="D134" s="46" t="n">
        <x:v>0.08595527657905055</x:v>
      </x:c>
      <x:c r="E134" s="46" t="n">
        <x:v>0.054936576435203444</x:v>
      </x:c>
      <x:c r="F134" t="n">
        <x:v>7</x:v>
      </x:c>
      <x:c r="G134" s="51" t="b">
        <x:v>0</x:v>
      </x:c>
      <x:c r="H134" s="51" t="b">
        <x:v>0</x:v>
      </x:c>
      <x:c r="I134" s="51" t="b">
        <x:v>0</x:v>
      </x:c>
      <x:c r="J134" s="51" t="b">
        <x:v>0</x:v>
      </x:c>
      <x:c r="K134" s="51" t="b">
        <x:v>0</x:v>
      </x:c>
      <x:c r="L134" s="51" t="b">
        <x:v>1</x:v>
      </x:c>
      <x:c r="M134" s="51" t="b">
        <x:v>1</x:v>
      </x:c>
      <x:c r="N134" s="51" t="b">
        <x:v>0</x:v>
      </x:c>
    </x:row>
    <x:row r="135">
      <x:c r="A135" t="str">
        <x:v>DRREDDY</x:v>
      </x:c>
      <x:c r="B135" s="52" t="n">
        <x:v>44028</x:v>
      </x:c>
      <x:c r="C135" s="53" t="n">
        <x:v>4152.15</x:v>
      </x:c>
      <x:c r="D135" s="46" t="n">
        <x:v>0.08777380393290235</x:v>
      </x:c>
      <x:c r="E135" s="46" t="n">
        <x:v>0.08777380393290235</x:v>
      </x:c>
      <x:c r="F135" t="n">
        <x:v>10</x:v>
      </x:c>
      <x:c r="G135" s="51" t="b">
        <x:v>1</x:v>
      </x:c>
      <x:c r="H135" s="51" t="b">
        <x:v>0</x:v>
      </x:c>
      <x:c r="I135" s="51" t="b">
        <x:v>0</x:v>
      </x:c>
      <x:c r="J135" s="51" t="b">
        <x:v>1</x:v>
      </x:c>
      <x:c r="K135" s="51" t="b">
        <x:v>0</x:v>
      </x:c>
      <x:c r="L135" s="51" t="b">
        <x:v>0</x:v>
      </x:c>
      <x:c r="M135" s="51" t="b">
        <x:v>0</x:v>
      </x:c>
      <x:c r="N135" s="51" t="b">
        <x:v>0</x:v>
      </x:c>
    </x:row>
    <x:row r="136">
      <x:c r="A136" t="str">
        <x:v>DRREDDY</x:v>
      </x:c>
      <x:c r="B136" s="52" t="n">
        <x:v>44077</x:v>
      </x:c>
      <x:c r="C136" s="53" t="n">
        <x:v>4433.15</x:v>
      </x:c>
      <x:c r="D136" s="46" t="n">
        <x:v>0.08889841309227076</x:v>
      </x:c>
      <x:c r="E136" s="46" t="n">
        <x:v>0.08889841309227076</x:v>
      </x:c>
      <x:c r="F136" t="n">
        <x:v>10</x:v>
      </x:c>
      <x:c r="G136" s="51" t="b">
        <x:v>0</x:v>
      </x:c>
      <x:c r="H136" s="51" t="b">
        <x:v>0</x:v>
      </x:c>
      <x:c r="I136" s="51" t="b">
        <x:v>0</x:v>
      </x:c>
      <x:c r="J136" s="51" t="b">
        <x:v>0</x:v>
      </x:c>
      <x:c r="K136" s="51" t="b">
        <x:v>0</x:v>
      </x:c>
      <x:c r="L136" s="51" t="b">
        <x:v>0</x:v>
      </x:c>
      <x:c r="M136" s="51" t="b">
        <x:v>1</x:v>
      </x:c>
      <x:c r="N136" s="51" t="b">
        <x:v>0</x:v>
      </x:c>
    </x:row>
    <x:row r="137">
      <x:c r="A137" t="str">
        <x:v>DRREDDY</x:v>
      </x:c>
      <x:c r="B137" s="52" t="n">
        <x:v>44217</x:v>
      </x:c>
      <x:c r="C137" s="53" t="n">
        <x:v>5052.2</x:v>
      </x:c>
      <x:c r="D137" s="46" t="n">
        <x:v>0.08098452159455305</x:v>
      </x:c>
      <x:c r="E137" s="46" t="n">
        <x:v>0.08098452159455305</x:v>
      </x:c>
      <x:c r="F137" t="n">
        <x:v>10</x:v>
      </x:c>
      <x:c r="G137" s="51" t="b">
        <x:v>0</x:v>
      </x:c>
      <x:c r="H137" s="51" t="b">
        <x:v>0</x:v>
      </x:c>
      <x:c r="I137" s="51" t="b">
        <x:v>0</x:v>
      </x:c>
      <x:c r="J137" s="51" t="b">
        <x:v>0</x:v>
      </x:c>
      <x:c r="K137" s="51" t="b">
        <x:v>0</x:v>
      </x:c>
      <x:c r="L137" s="51" t="b">
        <x:v>1</x:v>
      </x:c>
      <x:c r="M137" s="51" t="b">
        <x:v>1</x:v>
      </x:c>
      <x:c r="N137" s="51" t="b">
        <x:v>0</x:v>
      </x:c>
    </x:row>
    <x:row r="138">
      <x:c r="A138" t="str">
        <x:v>DRREDDY</x:v>
      </x:c>
      <x:c r="B138" s="52" t="n">
        <x:v>44431</x:v>
      </x:c>
      <x:c r="C138" s="53" t="n">
        <x:v>4514.85</x:v>
      </x:c>
      <x:c r="D138" s="46" t="n">
        <x:v>0.08884016080268431</x:v>
      </x:c>
      <x:c r="E138" s="46" t="n">
        <x:v>0.08884016080268431</x:v>
      </x:c>
      <x:c r="F138" t="n">
        <x:v>9</x:v>
      </x:c>
      <x:c r="G138" s="51" t="b">
        <x:v>0</x:v>
      </x:c>
      <x:c r="H138" s="51" t="b">
        <x:v>0</x:v>
      </x:c>
      <x:c r="I138" s="51" t="b">
        <x:v>0</x:v>
      </x:c>
      <x:c r="J138" s="51" t="b">
        <x:v>0</x:v>
      </x:c>
      <x:c r="K138" s="51" t="b">
        <x:v>0</x:v>
      </x:c>
      <x:c r="L138" s="51" t="b">
        <x:v>1</x:v>
      </x:c>
      <x:c r="M138" s="51" t="b">
        <x:v>1</x:v>
      </x:c>
      <x:c r="N138" s="51" t="b">
        <x:v>1</x:v>
      </x:c>
    </x:row>
    <x:row r="139">
      <x:c r="A139" t="str">
        <x:v>DRREDDY</x:v>
      </x:c>
      <x:c r="B139" s="52" t="n">
        <x:v>44547</x:v>
      </x:c>
      <x:c r="C139" s="53" t="n">
        <x:v>4517.95</x:v>
      </x:c>
      <x:c r="D139" s="46" t="n">
        <x:v>0.08611206409986827</x:v>
      </x:c>
      <x:c r="E139" s="46" t="n">
        <x:v>0.08611206409986827</x:v>
      </x:c>
      <x:c r="F139" t="n">
        <x:v>9</x:v>
      </x:c>
      <x:c r="G139" s="51" t="b">
        <x:v>0</x:v>
      </x:c>
      <x:c r="H139" s="51" t="b">
        <x:v>0</x:v>
      </x:c>
      <x:c r="I139" s="51" t="b">
        <x:v>0</x:v>
      </x:c>
      <x:c r="J139" s="51" t="b">
        <x:v>0</x:v>
      </x:c>
      <x:c r="K139" s="51" t="b">
        <x:v>0</x:v>
      </x:c>
      <x:c r="L139" s="51" t="b">
        <x:v>0</x:v>
      </x:c>
      <x:c r="M139" s="51" t="b">
        <x:v>1</x:v>
      </x:c>
      <x:c r="N139" s="51" t="b">
        <x:v>1</x:v>
      </x:c>
    </x:row>
    <x:row r="140">
      <x:c r="A140" t="str">
        <x:v>DRREDDY</x:v>
      </x:c>
      <x:c r="B140" s="52" t="n">
        <x:v>44623</x:v>
      </x:c>
      <x:c r="C140" s="53" t="n">
        <x:v>3718.85</x:v>
      </x:c>
      <x:c r="D140" s="46" t="n">
        <x:v>0.0869354773653146</x:v>
      </x:c>
      <x:c r="E140" s="46" t="n">
        <x:v>0.0869354773653146</x:v>
      </x:c>
      <x:c r="F140" t="n">
        <x:v>10</x:v>
      </x:c>
      <x:c r="G140" s="51" t="b">
        <x:v>0</x:v>
      </x:c>
      <x:c r="H140" s="51" t="b">
        <x:v>0</x:v>
      </x:c>
      <x:c r="I140" s="51" t="b">
        <x:v>0</x:v>
      </x:c>
      <x:c r="J140" s="51" t="b">
        <x:v>0</x:v>
      </x:c>
      <x:c r="K140" s="51" t="b">
        <x:v>0</x:v>
      </x:c>
      <x:c r="L140" s="51" t="b">
        <x:v>1</x:v>
      </x:c>
      <x:c r="M140" s="51" t="b">
        <x:v>0</x:v>
      </x:c>
      <x:c r="N140" s="51" t="b">
        <x:v>0</x:v>
      </x:c>
    </x:row>
    <x:row r="141">
      <x:c r="A141" t="str">
        <x:v>DRREDDY</x:v>
      </x:c>
      <x:c r="B141" s="52" t="n">
        <x:v>44687</x:v>
      </x:c>
      <x:c r="C141" s="53" t="n">
        <x:v>3930.65</x:v>
      </x:c>
      <x:c r="D141" s="46" t="n">
        <x:v>0.0810171345706181</x:v>
      </x:c>
      <x:c r="E141" s="46" t="n">
        <x:v>0.0810171345706181</x:v>
      </x:c>
      <x:c r="F141" t="n">
        <x:v>10</x:v>
      </x:c>
      <x:c r="G141" s="51" t="b">
        <x:v>0</x:v>
      </x:c>
      <x:c r="H141" s="51" t="b">
        <x:v>0</x:v>
      </x:c>
      <x:c r="I141" s="51" t="b">
        <x:v>0</x:v>
      </x:c>
      <x:c r="J141" s="51" t="b">
        <x:v>0</x:v>
      </x:c>
      <x:c r="K141" s="51" t="b">
        <x:v>0</x:v>
      </x:c>
      <x:c r="L141" s="51" t="b">
        <x:v>0</x:v>
      </x:c>
      <x:c r="M141" s="51" t="b">
        <x:v>0</x:v>
      </x:c>
      <x:c r="N141" s="51" t="b">
        <x:v>0</x:v>
      </x:c>
    </x:row>
    <x:row r="142">
      <x:c r="A142" t="str">
        <x:v>DRREDDY</x:v>
      </x:c>
      <x:c r="B142" s="52" t="n">
        <x:v>45009</x:v>
      </x:c>
      <x:c r="C142" s="53" t="n">
        <x:v>4464.15</x:v>
      </x:c>
      <x:c r="D142" s="46" t="n">
        <x:v>0.09337723866805558</x:v>
      </x:c>
      <x:c r="E142" s="46" t="n">
        <x:v>0.09337723866805558</x:v>
      </x:c>
      <x:c r="F142" t="n">
        <x:v>10</x:v>
      </x:c>
      <x:c r="G142" s="51" t="b">
        <x:v>0</x:v>
      </x:c>
      <x:c r="H142" s="51" t="b">
        <x:v>0</x:v>
      </x:c>
      <x:c r="I142" s="51" t="b">
        <x:v>0</x:v>
      </x:c>
      <x:c r="J142" s="51" t="b">
        <x:v>0</x:v>
      </x:c>
      <x:c r="K142" s="51" t="b">
        <x:v>1</x:v>
      </x:c>
      <x:c r="L142" s="51" t="b">
        <x:v>0</x:v>
      </x:c>
      <x:c r="M142" s="51" t="b">
        <x:v>0</x:v>
      </x:c>
      <x:c r="N142" s="51" t="b">
        <x:v>1</x:v>
      </x:c>
    </x:row>
    <x:row r="143">
      <x:c r="A143" t="str">
        <x:v>DRREDDY</x:v>
      </x:c>
      <x:c r="B143" s="52" t="n">
        <x:v>45091</x:v>
      </x:c>
      <x:c r="C143" s="53" t="n">
        <x:v>4699</x:v>
      </x:c>
      <x:c r="D143" s="46" t="n">
        <x:v>0.08700787401574805</x:v>
      </x:c>
      <x:c r="E143" s="46" t="n">
        <x:v>0.08700787401574805</x:v>
      </x:c>
      <x:c r="F143" t="n">
        <x:v>10</x:v>
      </x:c>
      <x:c r="G143" s="51" t="b">
        <x:v>0</x:v>
      </x:c>
      <x:c r="H143" s="51" t="b">
        <x:v>0</x:v>
      </x:c>
      <x:c r="I143" s="51" t="b">
        <x:v>0</x:v>
      </x:c>
      <x:c r="J143" s="51" t="b">
        <x:v>0</x:v>
      </x:c>
      <x:c r="K143" s="51" t="b">
        <x:v>0</x:v>
      </x:c>
      <x:c r="L143" s="51" t="b">
        <x:v>1</x:v>
      </x:c>
      <x:c r="M143" s="51" t="b">
        <x:v>0</x:v>
      </x:c>
      <x:c r="N143" s="51" t="b">
        <x:v>1</x:v>
      </x:c>
    </x:row>
    <x:row r="144">
      <x:c r="A144" t="str">
        <x:v>DRREDDY</x:v>
      </x:c>
      <x:c r="B144" s="52" t="n">
        <x:v>45121</x:v>
      </x:c>
      <x:c r="C144" s="53" t="n">
        <x:v>5092.05</x:v>
      </x:c>
      <x:c r="D144" s="46" t="n">
        <x:v>0.09641499985271151</x:v>
      </x:c>
      <x:c r="E144" s="46" t="n">
        <x:v>0.09641499985271151</x:v>
      </x:c>
      <x:c r="F144" t="n">
        <x:v>9</x:v>
      </x:c>
      <x:c r="G144" s="51" t="b">
        <x:v>0</x:v>
      </x:c>
      <x:c r="H144" s="51" t="b">
        <x:v>0</x:v>
      </x:c>
      <x:c r="I144" s="51" t="b">
        <x:v>1</x:v>
      </x:c>
      <x:c r="J144" s="51" t="b">
        <x:v>0</x:v>
      </x:c>
      <x:c r="K144" s="51" t="b">
        <x:v>1</x:v>
      </x:c>
      <x:c r="L144" s="51" t="b">
        <x:v>1</x:v>
      </x:c>
      <x:c r="M144" s="51" t="b">
        <x:v>0</x:v>
      </x:c>
      <x:c r="N144" s="51" t="b">
        <x:v>1</x:v>
      </x:c>
    </x:row>
    <x:row r="145">
      <x:c r="A145" t="str">
        <x:v>DRREDDY</x:v>
      </x:c>
      <x:c r="B145" s="52" t="n">
        <x:v>45308</x:v>
      </x:c>
      <x:c r="C145" s="53" t="n">
        <x:v>5649.95</x:v>
      </x:c>
      <x:c r="D145" s="46" t="n">
        <x:v>0.08339896813246139</x:v>
      </x:c>
      <x:c r="E145" s="46" t="n">
        <x:v>0.060743900388499084</x:v>
      </x:c>
      <x:c r="F145" t="n">
        <x:v>9</x:v>
      </x:c>
      <x:c r="G145" s="51" t="b">
        <x:v>0</x:v>
      </x:c>
      <x:c r="H145" s="51" t="b">
        <x:v>0</x:v>
      </x:c>
      <x:c r="I145" s="51" t="b">
        <x:v>1</x:v>
      </x:c>
      <x:c r="J145" s="51" t="b">
        <x:v>0</x:v>
      </x:c>
      <x:c r="K145" s="51" t="b">
        <x:v>0</x:v>
      </x:c>
      <x:c r="L145" s="51" t="b">
        <x:v>1</x:v>
      </x:c>
      <x:c r="M145" s="51" t="b">
        <x:v>0</x:v>
      </x:c>
      <x:c r="N145" s="51" t="b">
        <x:v>1</x:v>
      </x:c>
    </x:row>
    <x:row r="146">
      <x:c r="A146" t="str">
        <x:v>DRREDDY</x:v>
      </x:c>
      <x:c r="B146" s="52" t="n">
        <x:v>45463</x:v>
      </x:c>
      <x:c r="C146" s="53" t="n">
        <x:v>5970.8</x:v>
      </x:c>
      <x:c r="D146" s="46" t="n">
        <x:v>0.08517284116031365</x:v>
      </x:c>
      <x:c r="E146" s="46" t="n">
        <x:v>0.08517284116031365</x:v>
      </x:c>
      <x:c r="F146" t="n">
        <x:v>10</x:v>
      </x:c>
      <x:c r="G146" s="51" t="b">
        <x:v>0</x:v>
      </x:c>
      <x:c r="H146" s="51" t="b">
        <x:v>0</x:v>
      </x:c>
      <x:c r="I146" s="51" t="b">
        <x:v>0</x:v>
      </x:c>
      <x:c r="J146" s="51" t="b">
        <x:v>0</x:v>
      </x:c>
      <x:c r="K146" s="51" t="b">
        <x:v>0</x:v>
      </x:c>
      <x:c r="L146" s="51" t="b">
        <x:v>0</x:v>
      </x:c>
      <x:c r="M146" s="51" t="b">
        <x:v>0</x:v>
      </x:c>
      <x:c r="N146" s="51" t="b">
        <x:v>1</x:v>
      </x:c>
    </x:row>
    <x:row r="147">
      <x:c r="A147" t="str">
        <x:v>DRREDDY</x:v>
      </x:c>
      <x:c r="B147" s="52" t="n">
        <x:v>45636</x:v>
      </x:c>
      <x:c r="C147" s="53" t="n">
        <x:v>1240.35</x:v>
      </x:c>
      <x:c r="D147" s="46" t="n">
        <x:v>0.08912806869028911</x:v>
      </x:c>
      <x:c r="E147" s="46" t="n">
        <x:v>0.08912806869028911</x:v>
      </x:c>
      <x:c r="F147" t="n">
        <x:v>8</x:v>
      </x:c>
      <x:c r="G147" s="51" t="b">
        <x:v>0</x:v>
      </x:c>
      <x:c r="H147" s="51" t="b">
        <x:v>0</x:v>
      </x:c>
      <x:c r="I147" s="51" t="b">
        <x:v>0</x:v>
      </x:c>
      <x:c r="J147" s="51" t="b">
        <x:v>0</x:v>
      </x:c>
      <x:c r="K147" s="51" t="b">
        <x:v>0</x:v>
      </x:c>
      <x:c r="L147" s="51" t="b">
        <x:v>1</x:v>
      </x:c>
      <x:c r="M147" s="51" t="b">
        <x:v>0</x:v>
      </x:c>
      <x:c r="N147" s="51" t="b">
        <x:v>0</x:v>
      </x:c>
    </x:row>
    <x:row r="148">
      <x:c r="A148" t="str">
        <x:v>DRREDDY</x:v>
      </x:c>
      <x:c r="B148" s="52" t="n">
        <x:v>45726</x:v>
      </x:c>
      <x:c r="C148" s="53" t="n">
        <x:v>1120.2</x:v>
      </x:c>
      <x:c r="D148" s="46" t="n">
        <x:v>0.08043206570255301</x:v>
      </x:c>
      <x:c r="E148" s="46" t="n">
        <x:v>0.051508659168005844</x:v>
      </x:c>
      <x:c r="F148" t="n">
        <x:v>9</x:v>
      </x:c>
      <x:c r="G148" s="51" t="b">
        <x:v>0</x:v>
      </x:c>
      <x:c r="H148" s="51" t="b">
        <x:v>0</x:v>
      </x:c>
      <x:c r="I148" s="51" t="b">
        <x:v>0</x:v>
      </x:c>
      <x:c r="J148" s="51" t="b">
        <x:v>0</x:v>
      </x:c>
      <x:c r="K148" s="51" t="b">
        <x:v>0</x:v>
      </x:c>
      <x:c r="L148" s="51" t="b">
        <x:v>0</x:v>
      </x:c>
      <x:c r="M148" s="51" t="b">
        <x:v>0</x:v>
      </x:c>
      <x:c r="N148" s="51" t="b">
        <x:v>0</x:v>
      </x:c>
    </x:row>
    <x:row r="149">
      <x:c r="A149" t="str">
        <x:v>DRREDDY</x:v>
      </x:c>
      <x:c r="B149" s="52" t="n">
        <x:v>45754</x:v>
      </x:c>
      <x:c r="C149" s="53" t="n">
        <x:v>1087.9</x:v>
      </x:c>
      <x:c r="D149" s="46" t="n">
        <x:v>0.10350216012501146</x:v>
      </x:c>
      <x:c r="E149" s="46" t="n">
        <x:v>0.10350216012501146</x:v>
      </x:c>
      <x:c r="F149" t="n">
        <x:v>7</x:v>
      </x:c>
      <x:c r="G149" s="51" t="b">
        <x:v>0</x:v>
      </x:c>
      <x:c r="H149" s="51" t="b">
        <x:v>0</x:v>
      </x:c>
      <x:c r="I149" s="51" t="b">
        <x:v>0</x:v>
      </x:c>
      <x:c r="J149" s="51" t="b">
        <x:v>0</x:v>
      </x:c>
      <x:c r="K149" s="51" t="b">
        <x:v>0</x:v>
      </x:c>
      <x:c r="L149" s="51" t="b">
        <x:v>0</x:v>
      </x:c>
      <x:c r="M149" s="51" t="b">
        <x:v>0</x:v>
      </x:c>
      <x:c r="N149" s="51" t="b">
        <x:v>0</x:v>
      </x:c>
    </x:row>
    <x:row r="150">
      <x:c r="A150" t="str">
        <x:v>DRREDDY</x:v>
      </x:c>
      <x:c r="B150" s="52" t="n">
        <x:v>45804</x:v>
      </x:c>
      <x:c r="C150" s="53" t="n">
        <x:v>1243.2</x:v>
      </x:c>
      <x:c r="D150" s="46" t="n">
        <x:v>0.08494208494208477</x:v>
      </x:c>
      <x:c r="E150" s="46" t="n">
        <x:v>0.08494208494208477</x:v>
      </x:c>
      <x:c r="F150" t="n">
        <x:v>10</x:v>
      </x:c>
      <x:c r="G150" s="51" t="b">
        <x:v>0</x:v>
      </x:c>
      <x:c r="H150" s="51" t="b">
        <x:v>0</x:v>
      </x:c>
      <x:c r="I150" s="51" t="b">
        <x:v>0</x:v>
      </x:c>
      <x:c r="J150" s="51" t="b">
        <x:v>0</x:v>
      </x:c>
      <x:c r="K150" s="51" t="b">
        <x:v>0</x:v>
      </x:c>
      <x:c r="L150" s="51" t="b">
        <x:v>0</x:v>
      </x:c>
      <x:c r="M150" s="51" t="b">
        <x:v>0</x:v>
      </x:c>
      <x:c r="N150" s="51" t="b">
        <x:v>0</x:v>
      </x:c>
    </x:row>
    <x:row r="151">
      <x:c r="A151" t="str">
        <x:v>DRREDDY</x:v>
      </x:c>
      <x:c r="B151" s="52" t="n">
        <x:v>46054</x:v>
      </x:c>
      <x:c r="C151" s="53" t="n">
        <x:v>1178.7</x:v>
      </x:c>
      <x:c r="D151" s="46" t="n">
        <x:v>0.0821243743106812</x:v>
      </x:c>
      <x:c r="E151" s="46" t="n">
        <x:v>0.0758462713158563</x:v>
      </x:c>
      <x:c r="F151" t="n">
        <x:v>6</x:v>
      </x:c>
      <x:c r="G151" s="51" t="b">
        <x:v>0</x:v>
      </x:c>
      <x:c r="H151" s="51" t="b">
        <x:v>0</x:v>
      </x:c>
      <x:c r="I151" s="51" t="b">
        <x:v>0</x:v>
      </x:c>
      <x:c r="J151" s="51" t="b">
        <x:v>0</x:v>
      </x:c>
      <x:c r="K151" s="51" t="b">
        <x:v>0</x:v>
      </x:c>
      <x:c r="L151" s="51" t="b">
        <x:v>0</x:v>
      </x:c>
      <x:c r="M151" s="51" t="b">
        <x:v>0</x:v>
      </x:c>
      <x:c r="N151" s="51" t="b">
        <x:v>0</x:v>
      </x:c>
    </x:row>
    <x:row r="152">
      <x:c r="A152" t="str">
        <x:v>DRREDDY</x:v>
      </x:c>
      <x:c r="B152" s="52" t="n">
        <x:v>46120</x:v>
      </x:c>
      <x:c r="C152" s="53" t="n">
        <x:v>1191.4</x:v>
      </x:c>
      <x:c r="D152" s="46" t="n">
        <x:v>0.11717307369481267</x:v>
      </x:c>
      <x:c r="E152" s="46" t="n">
        <x:v>0.11717307369481267</x:v>
      </x:c>
      <x:c r="F152" t="n">
        <x:v>10</x:v>
      </x:c>
      <x:c r="G152" s="51" t="b">
        <x:v>0</x:v>
      </x:c>
      <x:c r="H152" s="51" t="b">
        <x:v>0</x:v>
      </x:c>
      <x:c r="I152" s="51" t="b">
        <x:v>0</x:v>
      </x:c>
      <x:c r="J152" s="51" t="b">
        <x:v>0</x:v>
      </x:c>
      <x:c r="K152" s="51" t="b">
        <x:v>0</x:v>
      </x:c>
      <x:c r="L152" s="51" t="b">
        <x:v>0</x:v>
      </x:c>
      <x:c r="M152" s="51" t="b">
        <x:v>0</x:v>
      </x:c>
      <x:c r="N152" s="51" t="b">
        <x:v>0</x:v>
      </x:c>
    </x:row>
    <x:row r="153">
      <x:c r="A153" t="str">
        <x:v>HDFCBANK</x:v>
      </x:c>
      <x:c r="B153" s="52" t="n">
        <x:v>42425</x:v>
      </x:c>
      <x:c r="C153" s="53" t="n">
        <x:v>942.65</x:v>
      </x:c>
      <x:c r="D153" s="46" t="n">
        <x:v>0.09128520659841932</x:v>
      </x:c>
      <x:c r="E153" s="46" t="n">
        <x:v>0.09128520659841932</x:v>
      </x:c>
      <x:c r="F153" t="n">
        <x:v>6</x:v>
      </x:c>
      <x:c r="G153" s="51" t="b">
        <x:v>0</x:v>
      </x:c>
      <x:c r="H153" s="51" t="b">
        <x:v>0</x:v>
      </x:c>
      <x:c r="I153" s="51" t="b">
        <x:v>0</x:v>
      </x:c>
      <x:c r="J153" s="51" t="b">
        <x:v>0</x:v>
      </x:c>
      <x:c r="K153" s="51" t="b">
        <x:v>0</x:v>
      </x:c>
      <x:c r="L153" s="51" t="b">
        <x:v>0</x:v>
      </x:c>
      <x:c r="M153" s="51" t="b">
        <x:v>0</x:v>
      </x:c>
      <x:c r="N153" s="51" t="b">
        <x:v>0</x:v>
      </x:c>
    </x:row>
    <x:row r="154">
      <x:c r="A154" t="str">
        <x:v>HDFCBANK</x:v>
      </x:c>
      <x:c r="B154" s="52" t="n">
        <x:v>42773</x:v>
      </x:c>
      <x:c r="C154" s="53" t="n">
        <x:v>1307.15</x:v>
      </x:c>
      <x:c r="D154" s="46" t="n">
        <x:v>0.08292850858738476</x:v>
      </x:c>
      <x:c r="E154" s="46" t="n">
        <x:v>0.08292850858738476</x:v>
      </x:c>
      <x:c r="F154" t="n">
        <x:v>10</x:v>
      </x:c>
      <x:c r="G154" s="51" t="b">
        <x:v>0</x:v>
      </x:c>
      <x:c r="H154" s="51" t="b">
        <x:v>0</x:v>
      </x:c>
      <x:c r="I154" s="51" t="b">
        <x:v>0</x:v>
      </x:c>
      <x:c r="J154" s="51" t="b">
        <x:v>0</x:v>
      </x:c>
      <x:c r="K154" s="51" t="b">
        <x:v>0</x:v>
      </x:c>
      <x:c r="L154" s="51" t="b">
        <x:v>0</x:v>
      </x:c>
      <x:c r="M154" s="51" t="b">
        <x:v>1</x:v>
      </x:c>
      <x:c r="N154" s="51" t="b">
        <x:v>0</x:v>
      </x:c>
    </x:row>
    <x:row r="155">
      <x:c r="A155" t="str">
        <x:v>HDFCBANK</x:v>
      </x:c>
      <x:c r="B155" s="52" t="n">
        <x:v>42837</x:v>
      </x:c>
      <x:c r="C155" s="53" t="n">
        <x:v>1443.7</x:v>
      </x:c>
      <x:c r="D155" s="46" t="n">
        <x:v>0.08651381866038643</x:v>
      </x:c>
      <x:c r="E155" s="46" t="n">
        <x:v>0.08651381866038643</x:v>
      </x:c>
      <x:c r="F155" t="n">
        <x:v>10</x:v>
      </x:c>
      <x:c r="G155" s="51" t="b">
        <x:v>0</x:v>
      </x:c>
      <x:c r="H155" s="51" t="b">
        <x:v>0</x:v>
      </x:c>
      <x:c r="I155" s="51" t="b">
        <x:v>1</x:v>
      </x:c>
      <x:c r="J155" s="51" t="b">
        <x:v>0</x:v>
      </x:c>
      <x:c r="K155" s="51" t="b">
        <x:v>1</x:v>
      </x:c>
      <x:c r="L155" s="51" t="b">
        <x:v>0</x:v>
      </x:c>
      <x:c r="M155" s="51" t="b">
        <x:v>1</x:v>
      </x:c>
      <x:c r="N155" s="51" t="b">
        <x:v>0</x:v>
      </x:c>
    </x:row>
    <x:row r="156">
      <x:c r="A156" t="str">
        <x:v>HDFCBANK</x:v>
      </x:c>
      <x:c r="B156" s="52" t="n">
        <x:v>43243</x:v>
      </x:c>
      <x:c r="C156" s="53" t="n">
        <x:v>1967.5</x:v>
      </x:c>
      <x:c r="D156" s="46" t="n">
        <x:v>0.0873951715374841</x:v>
      </x:c>
      <x:c r="E156" s="46" t="n">
        <x:v>0.04566709021601012</x:v>
      </x:c>
      <x:c r="F156" t="n">
        <x:v>6</x:v>
      </x:c>
      <x:c r="G156" s="51" t="b">
        <x:v>0</x:v>
      </x:c>
      <x:c r="H156" s="51" t="b">
        <x:v>0</x:v>
      </x:c>
      <x:c r="I156" s="51" t="b">
        <x:v>0</x:v>
      </x:c>
      <x:c r="J156" s="51" t="b">
        <x:v>0</x:v>
      </x:c>
      <x:c r="K156" s="51" t="b">
        <x:v>1</x:v>
      </x:c>
      <x:c r="L156" s="51" t="b">
        <x:v>0</x:v>
      </x:c>
      <x:c r="M156" s="51" t="b">
        <x:v>0</x:v>
      </x:c>
      <x:c r="N156" s="51" t="b">
        <x:v>1</x:v>
      </x:c>
    </x:row>
    <x:row r="157">
      <x:c r="A157" t="str">
        <x:v>HDFCBANK</x:v>
      </x:c>
      <x:c r="B157" s="52" t="n">
        <x:v>43417</x:v>
      </x:c>
      <x:c r="C157" s="53" t="n">
        <x:v>1927.75</x:v>
      </x:c>
      <x:c r="D157" s="46" t="n">
        <x:v>0.083776423291402</x:v>
      </x:c>
      <x:c r="E157" s="46" t="n">
        <x:v>0.083776423291402</x:v>
      </x:c>
      <x:c r="F157" t="n">
        <x:v>10</x:v>
      </x:c>
      <x:c r="G157" s="51" t="b">
        <x:v>0</x:v>
      </x:c>
      <x:c r="H157" s="51" t="b">
        <x:v>0</x:v>
      </x:c>
      <x:c r="I157" s="51" t="b">
        <x:v>1</x:v>
      </x:c>
      <x:c r="J157" s="51" t="b">
        <x:v>0</x:v>
      </x:c>
      <x:c r="K157" s="51" t="b">
        <x:v>0</x:v>
      </x:c>
      <x:c r="L157" s="51" t="b">
        <x:v>1</x:v>
      </x:c>
      <x:c r="M157" s="51" t="b">
        <x:v>0</x:v>
      </x:c>
      <x:c r="N157" s="51" t="b">
        <x:v>1</x:v>
      </x:c>
    </x:row>
    <x:row r="158">
      <x:c r="A158" t="str">
        <x:v>HDFCBANK</x:v>
      </x:c>
      <x:c r="B158" s="52" t="n">
        <x:v>43524</x:v>
      </x:c>
      <x:c r="C158" s="53" t="n">
        <x:v>2077.55</x:v>
      </x:c>
      <x:c r="D158" s="46" t="n">
        <x:v>0.08445043440591071</x:v>
      </x:c>
      <x:c r="E158" s="46" t="n">
        <x:v>0.08445043440591071</x:v>
      </x:c>
      <x:c r="F158" t="n">
        <x:v>10</x:v>
      </x:c>
      <x:c r="G158" s="51" t="b">
        <x:v>0</x:v>
      </x:c>
      <x:c r="H158" s="51" t="b">
        <x:v>0</x:v>
      </x:c>
      <x:c r="I158" s="51" t="b">
        <x:v>0</x:v>
      </x:c>
      <x:c r="J158" s="51" t="b">
        <x:v>0</x:v>
      </x:c>
      <x:c r="K158" s="51" t="b">
        <x:v>0</x:v>
      </x:c>
      <x:c r="L158" s="51" t="b">
        <x:v>0</x:v>
      </x:c>
      <x:c r="M158" s="51" t="b">
        <x:v>1</x:v>
      </x:c>
      <x:c r="N158" s="51" t="b">
        <x:v>1</x:v>
      </x:c>
    </x:row>
    <x:row r="159">
      <x:c r="A159" t="str">
        <x:v>HDFCBANK</x:v>
      </x:c>
      <x:c r="B159" s="52" t="n">
        <x:v>43727</x:v>
      </x:c>
      <x:c r="C159" s="53" t="n">
        <x:v>1101.05</x:v>
      </x:c>
      <x:c r="D159" s="46" t="n">
        <x:v>0.1418645838063668</x:v>
      </x:c>
      <x:c r="E159" s="46" t="n">
        <x:v>0.08051405476590534</x:v>
      </x:c>
      <x:c r="F159" t="n">
        <x:v>1</x:v>
      </x:c>
      <x:c r="G159" s="51" t="b">
        <x:v>0</x:v>
      </x:c>
      <x:c r="H159" s="51" t="b">
        <x:v>0</x:v>
      </x:c>
      <x:c r="I159" s="51" t="b">
        <x:v>0</x:v>
      </x:c>
      <x:c r="J159" s="51" t="b">
        <x:v>0</x:v>
      </x:c>
      <x:c r="K159" s="51" t="b">
        <x:v>0</x:v>
      </x:c>
      <x:c r="L159" s="51" t="b">
        <x:v>0</x:v>
      </x:c>
      <x:c r="M159" s="51" t="b">
        <x:v>0</x:v>
      </x:c>
      <x:c r="N159" s="51" t="b">
        <x:v>1</x:v>
      </x:c>
    </x:row>
    <x:row r="160">
      <x:c r="A160" t="str">
        <x:v>HDFCBANK</x:v>
      </x:c>
      <x:c r="B160" s="52" t="n">
        <x:v>43913</x:v>
      </x:c>
      <x:c r="C160" s="53" t="n">
        <x:v>771.55</x:v>
      </x:c>
      <x:c r="D160" s="46" t="n">
        <x:v>0.17225066424729452</x:v>
      </x:c>
      <x:c r="E160" s="46" t="n">
        <x:v>0.15209642926576383</x:v>
      </x:c>
      <x:c r="F160" t="n">
        <x:v>2</x:v>
      </x:c>
      <x:c r="G160" s="51" t="b">
        <x:v>0</x:v>
      </x:c>
      <x:c r="H160" s="51" t="b">
        <x:v>0</x:v>
      </x:c>
      <x:c r="I160" s="51" t="b">
        <x:v>0</x:v>
      </x:c>
      <x:c r="J160" s="51" t="b">
        <x:v>0</x:v>
      </x:c>
      <x:c r="K160" s="51" t="b">
        <x:v>0</x:v>
      </x:c>
      <x:c r="L160" s="51" t="b">
        <x:v>0</x:v>
      </x:c>
      <x:c r="M160" s="51" t="b">
        <x:v>0</x:v>
      </x:c>
      <x:c r="N160" s="51" t="b">
        <x:v>0</x:v>
      </x:c>
    </x:row>
    <x:row r="161">
      <x:c r="A161" t="str">
        <x:v>HDFCBANK</x:v>
      </x:c>
      <x:c r="B161" s="52" t="n">
        <x:v>43966</x:v>
      </x:c>
      <x:c r="C161" s="53" t="n">
        <x:v>888.15</x:v>
      </x:c>
      <x:c r="D161" s="46" t="n">
        <x:v>0.11203062545741149</x:v>
      </x:c>
      <x:c r="E161" s="46" t="n">
        <x:v>0.11203062545741149</x:v>
      </x:c>
      <x:c r="F161" t="n">
        <x:v>10</x:v>
      </x:c>
      <x:c r="G161" s="51" t="b">
        <x:v>0</x:v>
      </x:c>
      <x:c r="H161" s="51" t="b">
        <x:v>0</x:v>
      </x:c>
      <x:c r="I161" s="51" t="b">
        <x:v>0</x:v>
      </x:c>
      <x:c r="J161" s="51" t="b">
        <x:v>0</x:v>
      </x:c>
      <x:c r="K161" s="51" t="b">
        <x:v>0</x:v>
      </x:c>
      <x:c r="L161" s="51" t="b">
        <x:v>0</x:v>
      </x:c>
      <x:c r="M161" s="51" t="b">
        <x:v>0</x:v>
      </x:c>
      <x:c r="N161" s="51" t="b">
        <x:v>0</x:v>
      </x:c>
    </x:row>
    <x:row r="162">
      <x:c r="A162" t="str">
        <x:v>HDFCBANK</x:v>
      </x:c>
      <x:c r="B162" s="52" t="n">
        <x:v>43997</x:v>
      </x:c>
      <x:c r="C162" s="53" t="n">
        <x:v>949.85</x:v>
      </x:c>
      <x:c r="D162" s="46" t="n">
        <x:v>0.13286308364478594</x:v>
      </x:c>
      <x:c r="E162" s="46" t="n">
        <x:v>0.13286308364478594</x:v>
      </x:c>
      <x:c r="F162" t="n">
        <x:v>4</x:v>
      </x:c>
      <x:c r="G162" s="51" t="b">
        <x:v>0</x:v>
      </x:c>
      <x:c r="H162" s="51" t="b">
        <x:v>0</x:v>
      </x:c>
      <x:c r="I162" s="51" t="b">
        <x:v>0</x:v>
      </x:c>
      <x:c r="J162" s="51" t="b">
        <x:v>0</x:v>
      </x:c>
      <x:c r="K162" s="51" t="b">
        <x:v>0</x:v>
      </x:c>
      <x:c r="L162" s="51" t="b">
        <x:v>0</x:v>
      </x:c>
      <x:c r="M162" s="51" t="b">
        <x:v>0</x:v>
      </x:c>
      <x:c r="N162" s="51" t="b">
        <x:v>0</x:v>
      </x:c>
    </x:row>
    <x:row r="163">
      <x:c r="A163" t="str">
        <x:v>HDFCBANK</x:v>
      </x:c>
      <x:c r="B163" s="52" t="n">
        <x:v>44007</x:v>
      </x:c>
      <x:c r="C163" s="53" t="n">
        <x:v>1028.75</x:v>
      </x:c>
      <x:c r="D163" s="46" t="n">
        <x:v>0.09351154313487253</x:v>
      </x:c>
      <x:c r="E163" s="46" t="n">
        <x:v>0.09351154313487253</x:v>
      </x:c>
      <x:c r="F163" t="n">
        <x:v>10</x:v>
      </x:c>
      <x:c r="G163" s="51" t="b">
        <x:v>0</x:v>
      </x:c>
      <x:c r="H163" s="51" t="b">
        <x:v>0</x:v>
      </x:c>
      <x:c r="I163" s="51" t="b">
        <x:v>0</x:v>
      </x:c>
      <x:c r="J163" s="51" t="b">
        <x:v>0</x:v>
      </x:c>
      <x:c r="K163" s="51" t="b">
        <x:v>1</x:v>
      </x:c>
      <x:c r="L163" s="51" t="b">
        <x:v>1</x:v>
      </x:c>
      <x:c r="M163" s="51" t="b">
        <x:v>0</x:v>
      </x:c>
      <x:c r="N163" s="51" t="b">
        <x:v>0</x:v>
      </x:c>
    </x:row>
    <x:row r="164">
      <x:c r="A164" t="str">
        <x:v>HDFCBANK</x:v>
      </x:c>
      <x:c r="B164" s="52" t="n">
        <x:v>44027</x:v>
      </x:c>
      <x:c r="C164" s="53" t="n">
        <x:v>1053.15</x:v>
      </x:c>
      <x:c r="D164" s="46" t="n">
        <x:v>0.08109006314390155</x:v>
      </x:c>
      <x:c r="E164" s="46" t="n">
        <x:v>0.010872145468356686</x:v>
      </x:c>
      <x:c r="F164" t="n">
        <x:v>4</x:v>
      </x:c>
      <x:c r="G164" s="51" t="b">
        <x:v>0</x:v>
      </x:c>
      <x:c r="H164" s="51" t="b">
        <x:v>0</x:v>
      </x:c>
      <x:c r="I164" s="51" t="b">
        <x:v>0</x:v>
      </x:c>
      <x:c r="J164" s="51" t="b">
        <x:v>0</x:v>
      </x:c>
      <x:c r="K164" s="51" t="b">
        <x:v>0</x:v>
      </x:c>
      <x:c r="L164" s="51" t="b">
        <x:v>0</x:v>
      </x:c>
      <x:c r="M164" s="51" t="b">
        <x:v>1</x:v>
      </x:c>
      <x:c r="N164" s="51" t="b">
        <x:v>0</x:v>
      </x:c>
    </x:row>
    <x:row r="165">
      <x:c r="A165" t="str">
        <x:v>HDFCBANK</x:v>
      </x:c>
      <x:c r="B165" s="52" t="n">
        <x:v>44057</x:v>
      </x:c>
      <x:c r="C165" s="53" t="n">
        <x:v>1034.45</x:v>
      </x:c>
      <x:c r="D165" s="46" t="n">
        <x:v>0.0824109430131954</x:v>
      </x:c>
      <x:c r="E165" s="46" t="n">
        <x:v>0.07738411716371019</x:v>
      </x:c>
      <x:c r="F165" t="n">
        <x:v>7</x:v>
      </x:c>
      <x:c r="G165" s="51" t="b">
        <x:v>0</x:v>
      </x:c>
      <x:c r="H165" s="51" t="b">
        <x:v>0</x:v>
      </x:c>
      <x:c r="I165" s="51" t="b">
        <x:v>0</x:v>
      </x:c>
      <x:c r="J165" s="51" t="b">
        <x:v>0</x:v>
      </x:c>
      <x:c r="K165" s="51" t="b">
        <x:v>0</x:v>
      </x:c>
      <x:c r="L165" s="51" t="b">
        <x:v>0</x:v>
      </x:c>
      <x:c r="M165" s="51" t="b">
        <x:v>1</x:v>
      </x:c>
      <x:c r="N165" s="51" t="b">
        <x:v>0</x:v>
      </x:c>
    </x:row>
    <x:row r="166">
      <x:c r="A166" t="str">
        <x:v>HDFCBANK</x:v>
      </x:c>
      <x:c r="B166" s="52" t="n">
        <x:v>44095</x:v>
      </x:c>
      <x:c r="C166" s="53" t="n">
        <x:v>1049.3</x:v>
      </x:c>
      <x:c r="D166" s="46" t="n">
        <x:v>0.09034594491565806</x:v>
      </x:c>
      <x:c r="E166" s="46" t="n">
        <x:v>0.09034594491565806</x:v>
      </x:c>
      <x:c r="F166" t="n">
        <x:v>10</x:v>
      </x:c>
      <x:c r="G166" s="51" t="b">
        <x:v>0</x:v>
      </x:c>
      <x:c r="H166" s="51" t="b">
        <x:v>0</x:v>
      </x:c>
      <x:c r="I166" s="51" t="b">
        <x:v>1</x:v>
      </x:c>
      <x:c r="J166" s="51" t="b">
        <x:v>0</x:v>
      </x:c>
      <x:c r="K166" s="51" t="b">
        <x:v>0</x:v>
      </x:c>
      <x:c r="L166" s="51" t="b">
        <x:v>0</x:v>
      </x:c>
      <x:c r="M166" s="51" t="b">
        <x:v>1</x:v>
      </x:c>
      <x:c r="N166" s="51" t="b">
        <x:v>0</x:v>
      </x:c>
    </x:row>
    <x:row r="167">
      <x:c r="A167" t="str">
        <x:v>HDFCBANK</x:v>
      </x:c>
      <x:c r="B167" s="52" t="n">
        <x:v>44130</x:v>
      </x:c>
      <x:c r="C167" s="53" t="n">
        <x:v>1210.9</x:v>
      </x:c>
      <x:c r="D167" s="46" t="n">
        <x:v>0.10706912214055642</x:v>
      </x:c>
      <x:c r="E167" s="46" t="n">
        <x:v>0.10706912214055642</x:v>
      </x:c>
      <x:c r="F167" t="n">
        <x:v>10</x:v>
      </x:c>
      <x:c r="G167" s="51" t="b">
        <x:v>0</x:v>
      </x:c>
      <x:c r="H167" s="51" t="b">
        <x:v>0</x:v>
      </x:c>
      <x:c r="I167" s="51" t="b">
        <x:v>1</x:v>
      </x:c>
      <x:c r="J167" s="51" t="b">
        <x:v>0</x:v>
      </x:c>
      <x:c r="K167" s="51" t="b">
        <x:v>1</x:v>
      </x:c>
      <x:c r="L167" s="51" t="b">
        <x:v>0</x:v>
      </x:c>
      <x:c r="M167" s="51" t="b">
        <x:v>1</x:v>
      </x:c>
      <x:c r="N167" s="51" t="b">
        <x:v>0</x:v>
      </x:c>
    </x:row>
    <x:row r="168">
      <x:c r="A168" t="str">
        <x:v>HDFCBANK</x:v>
      </x:c>
      <x:c r="B168" s="52" t="n">
        <x:v>44224</x:v>
      </x:c>
      <x:c r="C168" s="53" t="n">
        <x:v>1371.45</x:v>
      </x:c>
      <x:c r="D168" s="46" t="n">
        <x:v>0.08662364650552323</x:v>
      </x:c>
      <x:c r="E168" s="46" t="n">
        <x:v>0.07900397389624114</x:v>
      </x:c>
      <x:c r="F168" t="n">
        <x:v>5</x:v>
      </x:c>
      <x:c r="G168" s="51" t="b">
        <x:v>0</x:v>
      </x:c>
      <x:c r="H168" s="51" t="b">
        <x:v>0</x:v>
      </x:c>
      <x:c r="I168" s="51" t="b">
        <x:v>0</x:v>
      </x:c>
      <x:c r="J168" s="51" t="b">
        <x:v>0</x:v>
      </x:c>
      <x:c r="K168" s="51" t="b">
        <x:v>0</x:v>
      </x:c>
      <x:c r="L168" s="51" t="b">
        <x:v>0</x:v>
      </x:c>
      <x:c r="M168" s="51" t="b">
        <x:v>1</x:v>
      </x:c>
      <x:c r="N168" s="51" t="b">
        <x:v>0</x:v>
      </x:c>
    </x:row>
    <x:row r="169">
      <x:c r="A169" t="str">
        <x:v>HDFCBANK</x:v>
      </x:c>
      <x:c r="B169" s="52" t="n">
        <x:v>44552</x:v>
      </x:c>
      <x:c r="C169" s="53" t="n">
        <x:v>1445.2</x:v>
      </x:c>
      <x:c r="D169" s="46" t="n">
        <x:v>0.08279130916136168</x:v>
      </x:c>
      <x:c r="E169" s="46" t="n">
        <x:v>0.08279130916136168</x:v>
      </x:c>
      <x:c r="F169" t="n">
        <x:v>10</x:v>
      </x:c>
      <x:c r="G169" s="51" t="b">
        <x:v>0</x:v>
      </x:c>
      <x:c r="H169" s="51" t="b">
        <x:v>0</x:v>
      </x:c>
      <x:c r="I169" s="51" t="b">
        <x:v>0</x:v>
      </x:c>
      <x:c r="J169" s="51" t="b">
        <x:v>0</x:v>
      </x:c>
      <x:c r="K169" s="51" t="b">
        <x:v>0</x:v>
      </x:c>
      <x:c r="L169" s="51" t="b">
        <x:v>0</x:v>
      </x:c>
      <x:c r="M169" s="51" t="b">
        <x:v>1</x:v>
      </x:c>
      <x:c r="N169" s="51" t="b">
        <x:v>1</x:v>
      </x:c>
    </x:row>
    <x:row r="170">
      <x:c r="A170" t="str">
        <x:v>HDFCBANK</x:v>
      </x:c>
      <x:c r="B170" s="52" t="n">
        <x:v>44624</x:v>
      </x:c>
      <x:c r="C170" s="53" t="n">
        <x:v>1366.5</x:v>
      </x:c>
      <x:c r="D170" s="46" t="n">
        <x:v>0.08781558726673988</x:v>
      </x:c>
      <x:c r="E170" s="46" t="n">
        <x:v>0.08781558726673988</x:v>
      </x:c>
      <x:c r="F170" t="n">
        <x:v>9</x:v>
      </x:c>
      <x:c r="G170" s="51" t="b">
        <x:v>0</x:v>
      </x:c>
      <x:c r="H170" s="51" t="b">
        <x:v>0</x:v>
      </x:c>
      <x:c r="I170" s="51" t="b">
        <x:v>0</x:v>
      </x:c>
      <x:c r="J170" s="51" t="b">
        <x:v>0</x:v>
      </x:c>
      <x:c r="K170" s="51" t="b">
        <x:v>0</x:v>
      </x:c>
      <x:c r="L170" s="51" t="b">
        <x:v>0</x:v>
      </x:c>
      <x:c r="M170" s="51" t="b">
        <x:v>0</x:v>
      </x:c>
      <x:c r="N170" s="51" t="b">
        <x:v>0</x:v>
      </x:c>
    </x:row>
    <x:row r="171">
      <x:c r="A171" t="str">
        <x:v>HDFCBANK</x:v>
      </x:c>
      <x:c r="B171" s="52" t="n">
        <x:v>44641</x:v>
      </x:c>
      <x:c r="C171" s="53" t="n">
        <x:v>1486.5</x:v>
      </x:c>
      <x:c r="D171" s="46" t="n">
        <x:v>0.11456441305079035</x:v>
      </x:c>
      <x:c r="E171" s="46" t="n">
        <x:v>0.11456441305079035</x:v>
      </x:c>
      <x:c r="F171" t="n">
        <x:v>10</x:v>
      </x:c>
      <x:c r="G171" s="51" t="b">
        <x:v>0</x:v>
      </x:c>
      <x:c r="H171" s="51" t="b">
        <x:v>0</x:v>
      </x:c>
      <x:c r="I171" s="51" t="b">
        <x:v>0</x:v>
      </x:c>
      <x:c r="J171" s="51" t="b">
        <x:v>0</x:v>
      </x:c>
      <x:c r="K171" s="51" t="b">
        <x:v>0</x:v>
      </x:c>
      <x:c r="L171" s="51" t="b">
        <x:v>0</x:v>
      </x:c>
      <x:c r="M171" s="51" t="b">
        <x:v>1</x:v>
      </x:c>
      <x:c r="N171" s="51" t="b">
        <x:v>0</x:v>
      </x:c>
    </x:row>
    <x:row r="172">
      <x:c r="A172" t="str">
        <x:v>HDFCBANK</x:v>
      </x:c>
      <x:c r="B172" s="52" t="n">
        <x:v>44700</x:v>
      </x:c>
      <x:c r="C172" s="53" t="n">
        <x:v>1287.05</x:v>
      </x:c>
      <x:c r="D172" s="46" t="n">
        <x:v>0.08896313274542567</x:v>
      </x:c>
      <x:c r="E172" s="46" t="n">
        <x:v>0.07618196651256737</x:v>
      </x:c>
      <x:c r="F172" t="n">
        <x:v>6</x:v>
      </x:c>
      <x:c r="G172" s="51" t="b">
        <x:v>0</x:v>
      </x:c>
      <x:c r="H172" s="51" t="b">
        <x:v>0</x:v>
      </x:c>
      <x:c r="I172" s="51" t="b">
        <x:v>0</x:v>
      </x:c>
      <x:c r="J172" s="51" t="b">
        <x:v>0</x:v>
      </x:c>
      <x:c r="K172" s="51" t="b">
        <x:v>0</x:v>
      </x:c>
      <x:c r="L172" s="51" t="b">
        <x:v>0</x:v>
      </x:c>
      <x:c r="M172" s="51" t="b">
        <x:v>0</x:v>
      </x:c>
      <x:c r="N172" s="51" t="b">
        <x:v>0</x:v>
      </x:c>
    </x:row>
    <x:row r="173">
      <x:c r="A173" t="str">
        <x:v>HDFCBANK</x:v>
      </x:c>
      <x:c r="B173" s="52" t="n">
        <x:v>44861</x:v>
      </x:c>
      <x:c r="C173" s="53" t="n">
        <x:v>1454.4</x:v>
      </x:c>
      <x:c r="D173" s="46" t="n">
        <x:v>0.10777640264026411</x:v>
      </x:c>
      <x:c r="E173" s="46" t="n">
        <x:v>0.10777640264026411</x:v>
      </x:c>
      <x:c r="F173" t="n">
        <x:v>10</x:v>
      </x:c>
      <x:c r="G173" s="51" t="b">
        <x:v>0</x:v>
      </x:c>
      <x:c r="H173" s="51" t="b">
        <x:v>0</x:v>
      </x:c>
      <x:c r="I173" s="51" t="b">
        <x:v>0</x:v>
      </x:c>
      <x:c r="J173" s="51" t="b">
        <x:v>0</x:v>
      </x:c>
      <x:c r="K173" s="51" t="b">
        <x:v>0</x:v>
      </x:c>
      <x:c r="L173" s="51" t="b">
        <x:v>1</x:v>
      </x:c>
      <x:c r="M173" s="51" t="b">
        <x:v>1</x:v>
      </x:c>
      <x:c r="N173" s="51" t="b">
        <x:v>1</x:v>
      </x:c>
    </x:row>
    <x:row r="174">
      <x:c r="A174" t="str">
        <x:v>HDFCBANK</x:v>
      </x:c>
      <x:c r="B174" s="52" t="n">
        <x:v>44936</x:v>
      </x:c>
      <x:c r="C174" s="53" t="n">
        <x:v>1568.3</x:v>
      </x:c>
      <x:c r="D174" s="46" t="n">
        <x:v>0.08110693107186129</x:v>
      </x:c>
      <x:c r="E174" s="46" t="n">
        <x:v>0.08110693107186129</x:v>
      </x:c>
      <x:c r="F174" t="n">
        <x:v>10</x:v>
      </x:c>
      <x:c r="G174" s="51" t="b">
        <x:v>0</x:v>
      </x:c>
      <x:c r="H174" s="51" t="b">
        <x:v>0</x:v>
      </x:c>
      <x:c r="I174" s="51" t="b">
        <x:v>0</x:v>
      </x:c>
      <x:c r="J174" s="51" t="b">
        <x:v>0</x:v>
      </x:c>
      <x:c r="K174" s="51" t="b">
        <x:v>0</x:v>
      </x:c>
      <x:c r="L174" s="51" t="b">
        <x:v>1</x:v>
      </x:c>
      <x:c r="M174" s="51" t="b">
        <x:v>0</x:v>
      </x:c>
      <x:c r="N174" s="51" t="b">
        <x:v>1</x:v>
      </x:c>
    </x:row>
    <x:row r="175">
      <x:c r="A175" t="str">
        <x:v>HDFCBANK</x:v>
      </x:c>
      <x:c r="B175" s="52" t="n">
        <x:v>45253</x:v>
      </x:c>
      <x:c r="C175" s="53" t="n">
        <x:v>1521.3</x:v>
      </x:c>
      <x:c r="D175" s="46" t="n">
        <x:v>0.0867021626240716</x:v>
      </x:c>
      <x:c r="E175" s="46" t="n">
        <x:v>0.0867021626240716</x:v>
      </x:c>
      <x:c r="F175" t="n">
        <x:v>10</x:v>
      </x:c>
      <x:c r="G175" s="51" t="b">
        <x:v>0</x:v>
      </x:c>
      <x:c r="H175" s="51" t="b">
        <x:v>0</x:v>
      </x:c>
      <x:c r="I175" s="51" t="b">
        <x:v>0</x:v>
      </x:c>
      <x:c r="J175" s="51" t="b">
        <x:v>0</x:v>
      </x:c>
      <x:c r="K175" s="51" t="b">
        <x:v>0</x:v>
      </x:c>
      <x:c r="L175" s="51" t="b">
        <x:v>0</x:v>
      </x:c>
      <x:c r="M175" s="51" t="b">
        <x:v>0</x:v>
      </x:c>
      <x:c r="N175" s="51" t="b">
        <x:v>1</x:v>
      </x:c>
    </x:row>
    <x:row r="176">
      <x:c r="A176" t="str">
        <x:v>HDFCBANK</x:v>
      </x:c>
      <x:c r="B176" s="52" t="n">
        <x:v>45371</x:v>
      </x:c>
      <x:c r="C176" s="53" t="n">
        <x:v>1431.05</x:v>
      </x:c>
      <x:c r="D176" s="46" t="n">
        <x:v>0.08280633101568768</x:v>
      </x:c>
      <x:c r="E176" s="46" t="n">
        <x:v>0.08280633101568768</x:v>
      </x:c>
      <x:c r="F176" t="n">
        <x:v>10</x:v>
      </x:c>
      <x:c r="G176" s="51" t="b">
        <x:v>0</x:v>
      </x:c>
      <x:c r="H176" s="51" t="b">
        <x:v>0</x:v>
      </x:c>
      <x:c r="I176" s="51" t="b">
        <x:v>0</x:v>
      </x:c>
      <x:c r="J176" s="51" t="b">
        <x:v>0</x:v>
      </x:c>
      <x:c r="K176" s="51" t="b">
        <x:v>0</x:v>
      </x:c>
      <x:c r="L176" s="51" t="b">
        <x:v>0</x:v>
      </x:c>
      <x:c r="M176" s="51" t="b">
        <x:v>0</x:v>
      </x:c>
      <x:c r="N176" s="51" t="b">
        <x:v>1</x:v>
      </x:c>
    </x:row>
    <x:row r="177">
      <x:c r="A177" t="str">
        <x:v>HDFCBANK</x:v>
      </x:c>
      <x:c r="B177" s="52" t="n">
        <x:v>45447</x:v>
      </x:c>
      <x:c r="C177" s="53" t="n">
        <x:v>1483.15</x:v>
      </x:c>
      <x:c r="D177" s="46" t="n">
        <x:v>0.11778983919360808</x:v>
      </x:c>
      <x:c r="E177" s="46" t="n">
        <x:v>0.11778983919360808</x:v>
      </x:c>
      <x:c r="F177" t="n">
        <x:v>9</x:v>
      </x:c>
      <x:c r="G177" s="51" t="b">
        <x:v>0</x:v>
      </x:c>
      <x:c r="H177" s="51" t="b">
        <x:v>0</x:v>
      </x:c>
      <x:c r="I177" s="51" t="b">
        <x:v>0</x:v>
      </x:c>
      <x:c r="J177" s="51" t="b">
        <x:v>0</x:v>
      </x:c>
      <x:c r="K177" s="51" t="b">
        <x:v>0</x:v>
      </x:c>
      <x:c r="L177" s="51" t="b">
        <x:v>0</x:v>
      </x:c>
      <x:c r="M177" s="51" t="b">
        <x:v>0</x:v>
      </x:c>
      <x:c r="N177" s="51" t="b">
        <x:v>0</x:v>
      </x:c>
    </x:row>
    <x:row r="178">
      <x:c r="A178" t="str">
        <x:v>HDFCBANK</x:v>
      </x:c>
      <x:c r="B178" s="52" t="n">
        <x:v>45546</x:v>
      </x:c>
      <x:c r="C178" s="53" t="n">
        <x:v>1643.9</x:v>
      </x:c>
      <x:c r="D178" s="46" t="n">
        <x:v>0.08224344546505247</x:v>
      </x:c>
      <x:c r="E178" s="46" t="n">
        <x:v>0.08224344546505247</x:v>
      </x:c>
      <x:c r="F178" t="n">
        <x:v>10</x:v>
      </x:c>
      <x:c r="G178" s="51" t="b">
        <x:v>0</x:v>
      </x:c>
      <x:c r="H178" s="51" t="b">
        <x:v>0</x:v>
      </x:c>
      <x:c r="I178" s="51" t="b">
        <x:v>1</x:v>
      </x:c>
      <x:c r="J178" s="51" t="b">
        <x:v>0</x:v>
      </x:c>
      <x:c r="K178" s="51" t="b">
        <x:v>0</x:v>
      </x:c>
      <x:c r="L178" s="51" t="b">
        <x:v>0</x:v>
      </x:c>
      <x:c r="M178" s="51" t="b">
        <x:v>0</x:v>
      </x:c>
      <x:c r="N178" s="51" t="b">
        <x:v>0</x:v>
      </x:c>
    </x:row>
    <x:row r="179">
      <x:c r="A179" t="str">
        <x:v>HDFCBANK</x:v>
      </x:c>
      <x:c r="B179" s="52" t="n">
        <x:v>45727</x:v>
      </x:c>
      <x:c r="C179" s="53" t="n">
        <x:v>1685.5</x:v>
      </x:c>
      <x:c r="D179" s="46" t="n">
        <x:v>0.08065855829130819</x:v>
      </x:c>
      <x:c r="E179" s="46" t="n">
        <x:v>0.07181845149807176</x:v>
      </x:c>
      <x:c r="F179" t="n">
        <x:v>9</x:v>
      </x:c>
      <x:c r="G179" s="51" t="b">
        <x:v>0</x:v>
      </x:c>
      <x:c r="H179" s="51" t="b">
        <x:v>0</x:v>
      </x:c>
      <x:c r="I179" s="51" t="b">
        <x:v>0</x:v>
      </x:c>
      <x:c r="J179" s="51" t="b">
        <x:v>0</x:v>
      </x:c>
      <x:c r="K179" s="51" t="b">
        <x:v>0</x:v>
      </x:c>
      <x:c r="L179" s="51" t="b">
        <x:v>0</x:v>
      </x:c>
      <x:c r="M179" s="51" t="b">
        <x:v>0</x:v>
      </x:c>
      <x:c r="N179" s="51" t="b">
        <x:v>0</x:v>
      </x:c>
    </x:row>
    <x:row r="180">
      <x:c r="A180" t="str">
        <x:v>HDFCBANK</x:v>
      </x:c>
      <x:c r="B180" s="52" t="n">
        <x:v>45750</x:v>
      </x:c>
      <x:c r="C180" s="53" t="n">
        <x:v>1794.85</x:v>
      </x:c>
      <x:c r="D180" s="46" t="n">
        <x:v>0.09296041451931925</x:v>
      </x:c>
      <x:c r="E180" s="46" t="n">
        <x:v>0.09296041451931925</x:v>
      </x:c>
      <x:c r="F180" t="n">
        <x:v>10</x:v>
      </x:c>
      <x:c r="G180" s="51" t="b">
        <x:v>0</x:v>
      </x:c>
      <x:c r="H180" s="51" t="b">
        <x:v>0</x:v>
      </x:c>
      <x:c r="I180" s="51" t="b">
        <x:v>1</x:v>
      </x:c>
      <x:c r="J180" s="51" t="b">
        <x:v>0</x:v>
      </x:c>
      <x:c r="K180" s="51" t="b">
        <x:v>0</x:v>
      </x:c>
      <x:c r="L180" s="51" t="b">
        <x:v>0</x:v>
      </x:c>
      <x:c r="M180" s="51" t="b">
        <x:v>0</x:v>
      </x:c>
      <x:c r="N180" s="51" t="b">
        <x:v>0</x:v>
      </x:c>
    </x:row>
    <x:row r="181">
      <x:c r="A181" t="str">
        <x:v>HDFCBANK</x:v>
      </x:c>
      <x:c r="B181" s="52" t="n">
        <x:v>46104</x:v>
      </x:c>
      <x:c r="C181" s="53" t="n">
        <x:v>744.15</x:v>
      </x:c>
      <x:c r="D181" s="46" t="n">
        <x:v>0.0966874958005779</x:v>
      </x:c>
      <x:c r="E181" s="46" t="n">
        <x:v>0.0719612981253781</x:v>
      </x:c>
      <x:c r="F181" t="n">
        <x:v>9</x:v>
      </x:c>
      <x:c r="G181" s="51" t="b">
        <x:v>0</x:v>
      </x:c>
      <x:c r="H181" s="51" t="b">
        <x:v>0</x:v>
      </x:c>
      <x:c r="I181" s="51" t="b">
        <x:v>0</x:v>
      </x:c>
      <x:c r="J181" s="51" t="b">
        <x:v>0</x:v>
      </x:c>
      <x:c r="K181" s="51" t="b">
        <x:v>0</x:v>
      </x:c>
      <x:c r="L181" s="51" t="b">
        <x:v>0</x:v>
      </x:c>
      <x:c r="M181" s="51" t="b">
        <x:v>0</x:v>
      </x:c>
      <x:c r="N181" s="51" t="b">
        <x:v>0</x:v>
      </x:c>
    </x:row>
    <x:row r="182">
      <x:c r="A182" t="str">
        <x:v>HINDUNILVR</x:v>
      </x:c>
      <x:c r="B182" s="52" t="n">
        <x:v>42510</x:v>
      </x:c>
      <x:c r="C182" s="53" t="n">
        <x:v>812.4</x:v>
      </x:c>
      <x:c r="D182" s="46" t="n">
        <x:v>0.08918020679468253</x:v>
      </x:c>
      <x:c r="E182" s="46" t="n">
        <x:v>0.08918020679468253</x:v>
      </x:c>
      <x:c r="F182" t="n">
        <x:v>10</x:v>
      </x:c>
      <x:c r="G182" s="51" t="b">
        <x:v>0</x:v>
      </x:c>
      <x:c r="H182" s="51" t="b">
        <x:v>0</x:v>
      </x:c>
      <x:c r="I182" s="51" t="b">
        <x:v>0</x:v>
      </x:c>
      <x:c r="J182" s="51" t="b">
        <x:v>0</x:v>
      </x:c>
      <x:c r="K182" s="51" t="b">
        <x:v>0</x:v>
      </x:c>
      <x:c r="L182" s="51" t="b">
        <x:v>1</x:v>
      </x:c>
      <x:c r="M182" s="51" t="b">
        <x:v>1</x:v>
      </x:c>
      <x:c r="N182" s="51" t="b">
        <x:v>0</x:v>
      </x:c>
    </x:row>
    <x:row r="183">
      <x:c r="A183" t="str">
        <x:v>HINDUNILVR</x:v>
      </x:c>
      <x:c r="B183" s="52" t="n">
        <x:v>42545</x:v>
      </x:c>
      <x:c r="C183" s="53" t="n">
        <x:v>859.1</x:v>
      </x:c>
      <x:c r="D183" s="46" t="n">
        <x:v>0.08182982190664645</x:v>
      </x:c>
      <x:c r="E183" s="46" t="n">
        <x:v>0.08182982190664645</x:v>
      </x:c>
      <x:c r="F183" t="n">
        <x:v>10</x:v>
      </x:c>
      <x:c r="G183" s="51" t="b">
        <x:v>0</x:v>
      </x:c>
      <x:c r="H183" s="51" t="b">
        <x:v>0</x:v>
      </x:c>
      <x:c r="I183" s="51" t="b">
        <x:v>0</x:v>
      </x:c>
      <x:c r="J183" s="51" t="b">
        <x:v>0</x:v>
      </x:c>
      <x:c r="K183" s="51" t="b">
        <x:v>0</x:v>
      </x:c>
      <x:c r="L183" s="51" t="b">
        <x:v>0</x:v>
      </x:c>
      <x:c r="M183" s="51" t="b">
        <x:v>1</x:v>
      </x:c>
      <x:c r="N183" s="51" t="b">
        <x:v>0</x:v>
      </x:c>
    </x:row>
    <x:row r="184">
      <x:c r="A184" t="str">
        <x:v>HINDUNILVR</x:v>
      </x:c>
      <x:c r="B184" s="52" t="n">
        <x:v>42858</x:v>
      </x:c>
      <x:c r="C184" s="53" t="n">
        <x:v>934</x:v>
      </x:c>
      <x:c r="D184" s="46" t="n">
        <x:v>0.0807280513918629</x:v>
      </x:c>
      <x:c r="E184" s="46" t="n">
        <x:v>0.0807280513918629</x:v>
      </x:c>
      <x:c r="F184" t="n">
        <x:v>10</x:v>
      </x:c>
      <x:c r="G184" s="51" t="b">
        <x:v>0</x:v>
      </x:c>
      <x:c r="H184" s="51" t="b">
        <x:v>0</x:v>
      </x:c>
      <x:c r="I184" s="51" t="b">
        <x:v>0</x:v>
      </x:c>
      <x:c r="J184" s="51" t="b">
        <x:v>0</x:v>
      </x:c>
      <x:c r="K184" s="51" t="b">
        <x:v>1</x:v>
      </x:c>
      <x:c r="L184" s="51" t="b">
        <x:v>0</x:v>
      </x:c>
      <x:c r="M184" s="51" t="b">
        <x:v>1</x:v>
      </x:c>
      <x:c r="N184" s="51" t="b">
        <x:v>0</x:v>
      </x:c>
    </x:row>
    <x:row r="185">
      <x:c r="A185" t="str">
        <x:v>HINDUNILVR</x:v>
      </x:c>
      <x:c r="B185" s="52" t="n">
        <x:v>42870</x:v>
      </x:c>
      <x:c r="C185" s="53" t="n">
        <x:v>983.25</x:v>
      </x:c>
      <x:c r="D185" s="46" t="n">
        <x:v>0.09051614543605391</x:v>
      </x:c>
      <x:c r="E185" s="46" t="n">
        <x:v>0.09051614543605391</x:v>
      </x:c>
      <x:c r="F185" t="n">
        <x:v>10</x:v>
      </x:c>
      <x:c r="G185" s="51" t="b">
        <x:v>0</x:v>
      </x:c>
      <x:c r="H185" s="51" t="b">
        <x:v>0</x:v>
      </x:c>
      <x:c r="I185" s="51" t="b">
        <x:v>1</x:v>
      </x:c>
      <x:c r="J185" s="51" t="b">
        <x:v>0</x:v>
      </x:c>
      <x:c r="K185" s="51" t="b">
        <x:v>0</x:v>
      </x:c>
      <x:c r="L185" s="51" t="b">
        <x:v>0</x:v>
      </x:c>
      <x:c r="M185" s="51" t="b">
        <x:v>1</x:v>
      </x:c>
      <x:c r="N185" s="51" t="b">
        <x:v>0</x:v>
      </x:c>
    </x:row>
    <x:row r="186">
      <x:c r="A186" t="str">
        <x:v>HINDUNILVR</x:v>
      </x:c>
      <x:c r="B186" s="52" t="n">
        <x:v>43007</x:v>
      </x:c>
      <x:c r="C186" s="53" t="n">
        <x:v>1173.9</x:v>
      </x:c>
      <x:c r="D186" s="46" t="n">
        <x:v>0.09148990544339375</x:v>
      </x:c>
      <x:c r="E186" s="46" t="n">
        <x:v>0.09148990544339375</x:v>
      </x:c>
      <x:c r="F186" t="n">
        <x:v>10</x:v>
      </x:c>
      <x:c r="G186" s="51" t="b">
        <x:v>0</x:v>
      </x:c>
      <x:c r="H186" s="51" t="b">
        <x:v>0</x:v>
      </x:c>
      <x:c r="I186" s="51" t="b">
        <x:v>0</x:v>
      </x:c>
      <x:c r="J186" s="51" t="b">
        <x:v>0</x:v>
      </x:c>
      <x:c r="K186" s="51" t="b">
        <x:v>0</x:v>
      </x:c>
      <x:c r="L186" s="51" t="b">
        <x:v>0</x:v>
      </x:c>
      <x:c r="M186" s="51" t="b">
        <x:v>1</x:v>
      </x:c>
      <x:c r="N186" s="51" t="b">
        <x:v>0</x:v>
      </x:c>
    </x:row>
    <x:row r="187">
      <x:c r="A187" t="str">
        <x:v>HINDUNILVR</x:v>
      </x:c>
      <x:c r="B187" s="52" t="n">
        <x:v>43223</x:v>
      </x:c>
      <x:c r="C187" s="53" t="n">
        <x:v>1452.2</x:v>
      </x:c>
      <x:c r="D187" s="46" t="n">
        <x:v>0.08394160583941601</x:v>
      </x:c>
      <x:c r="E187" s="46" t="n">
        <x:v>0.08098058118716422</x:v>
      </x:c>
      <x:c r="F187" t="n">
        <x:v>9</x:v>
      </x:c>
      <x:c r="G187" s="51" t="b">
        <x:v>0</x:v>
      </x:c>
      <x:c r="H187" s="51" t="b">
        <x:v>0</x:v>
      </x:c>
      <x:c r="I187" s="51" t="b">
        <x:v>1</x:v>
      </x:c>
      <x:c r="J187" s="51" t="b">
        <x:v>0</x:v>
      </x:c>
      <x:c r="K187" s="51" t="b">
        <x:v>1</x:v>
      </x:c>
      <x:c r="L187" s="51" t="b">
        <x:v>1</x:v>
      </x:c>
      <x:c r="M187" s="51" t="b">
        <x:v>1</x:v>
      </x:c>
      <x:c r="N187" s="51" t="b">
        <x:v>1</x:v>
      </x:c>
    </x:row>
    <x:row r="188">
      <x:c r="A188" t="str">
        <x:v>HINDUNILVR</x:v>
      </x:c>
      <x:c r="B188" s="52" t="n">
        <x:v>43279</x:v>
      </x:c>
      <x:c r="C188" s="53" t="n">
        <x:v>1602.75</x:v>
      </x:c>
      <x:c r="D188" s="46" t="n">
        <x:v>0.08710029636562155</x:v>
      </x:c>
      <x:c r="E188" s="46" t="n">
        <x:v>0.08710029636562155</x:v>
      </x:c>
      <x:c r="F188" t="n">
        <x:v>10</x:v>
      </x:c>
      <x:c r="G188" s="51" t="b">
        <x:v>0</x:v>
      </x:c>
      <x:c r="H188" s="51" t="b">
        <x:v>0</x:v>
      </x:c>
      <x:c r="I188" s="51" t="b">
        <x:v>0</x:v>
      </x:c>
      <x:c r="J188" s="51" t="b">
        <x:v>0</x:v>
      </x:c>
      <x:c r="K188" s="51" t="b">
        <x:v>0</x:v>
      </x:c>
      <x:c r="L188" s="51" t="b">
        <x:v>0</x:v>
      </x:c>
      <x:c r="M188" s="51" t="b">
        <x:v>0</x:v>
      </x:c>
      <x:c r="N188" s="51" t="b">
        <x:v>1</x:v>
      </x:c>
    </x:row>
    <x:row r="189">
      <x:c r="A189" t="str">
        <x:v>HINDUNILVR</x:v>
      </x:c>
      <x:c r="B189" s="52" t="n">
        <x:v>43420</x:v>
      </x:c>
      <x:c r="C189" s="53" t="n">
        <x:v>1689.1</x:v>
      </x:c>
      <x:c r="D189" s="46" t="n">
        <x:v>0.08081226688769161</x:v>
      </x:c>
      <x:c r="E189" s="46" t="n">
        <x:v>0.08081226688769161</x:v>
      </x:c>
      <x:c r="F189" t="n">
        <x:v>10</x:v>
      </x:c>
      <x:c r="G189" s="51" t="b">
        <x:v>0</x:v>
      </x:c>
      <x:c r="H189" s="51" t="b">
        <x:v>0</x:v>
      </x:c>
      <x:c r="I189" s="51" t="b">
        <x:v>1</x:v>
      </x:c>
      <x:c r="J189" s="51" t="b">
        <x:v>0</x:v>
      </x:c>
      <x:c r="K189" s="51" t="b">
        <x:v>0</x:v>
      </x:c>
      <x:c r="L189" s="51" t="b">
        <x:v>1</x:v>
      </x:c>
      <x:c r="M189" s="51" t="b">
        <x:v>0</x:v>
      </x:c>
      <x:c r="N189" s="51" t="b">
        <x:v>1</x:v>
      </x:c>
    </x:row>
    <x:row r="190">
      <x:c r="A190" t="str">
        <x:v>HINDUNILVR</x:v>
      </x:c>
      <x:c r="B190" s="52" t="n">
        <x:v>43714</x:v>
      </x:c>
      <x:c r="C190" s="53" t="n">
        <x:v>1819.15</x:v>
      </x:c>
      <x:c r="D190" s="46" t="n">
        <x:v>0.12126542616056946</x:v>
      </x:c>
      <x:c r="E190" s="46" t="n">
        <x:v>0.12126542616056946</x:v>
      </x:c>
      <x:c r="F190" t="n">
        <x:v>9</x:v>
      </x:c>
      <x:c r="G190" s="51" t="b">
        <x:v>0</x:v>
      </x:c>
      <x:c r="H190" s="51" t="b">
        <x:v>0</x:v>
      </x:c>
      <x:c r="I190" s="51" t="b">
        <x:v>1</x:v>
      </x:c>
      <x:c r="J190" s="51" t="b">
        <x:v>0</x:v>
      </x:c>
      <x:c r="K190" s="51" t="b">
        <x:v>1</x:v>
      </x:c>
      <x:c r="L190" s="51" t="b">
        <x:v>0</x:v>
      </x:c>
      <x:c r="M190" s="51" t="b">
        <x:v>0</x:v>
      </x:c>
      <x:c r="N190" s="51" t="b">
        <x:v>1</x:v>
      </x:c>
    </x:row>
    <x:row r="191">
      <x:c r="A191" t="str">
        <x:v>HINDUNILVR</x:v>
      </x:c>
      <x:c r="B191" s="52" t="n">
        <x:v>43742</x:v>
      </x:c>
      <x:c r="C191" s="53" t="n">
        <x:v>1944.2</x:v>
      </x:c>
      <x:c r="D191" s="46" t="n">
        <x:v>0.09420327126838801</x:v>
      </x:c>
      <x:c r="E191" s="46" t="n">
        <x:v>0.09420327126838801</x:v>
      </x:c>
      <x:c r="F191" t="n">
        <x:v>8</x:v>
      </x:c>
      <x:c r="G191" s="51" t="b">
        <x:v>0</x:v>
      </x:c>
      <x:c r="H191" s="51" t="b">
        <x:v>0</x:v>
      </x:c>
      <x:c r="I191" s="51" t="b">
        <x:v>0</x:v>
      </x:c>
      <x:c r="J191" s="51" t="b">
        <x:v>0</x:v>
      </x:c>
      <x:c r="K191" s="51" t="b">
        <x:v>1</x:v>
      </x:c>
      <x:c r="L191" s="51" t="b">
        <x:v>1</x:v>
      </x:c>
      <x:c r="M191" s="51" t="b">
        <x:v>0</x:v>
      </x:c>
      <x:c r="N191" s="51" t="b">
        <x:v>1</x:v>
      </x:c>
    </x:row>
    <x:row r="192">
      <x:c r="A192" t="str">
        <x:v>HINDUNILVR</x:v>
      </x:c>
      <x:c r="B192" s="52" t="n">
        <x:v>43860</x:v>
      </x:c>
      <x:c r="C192" s="53" t="n">
        <x:v>2058.1</x:v>
      </x:c>
      <x:c r="D192" s="46" t="n">
        <x:v>0.09827024925902528</x:v>
      </x:c>
      <x:c r="E192" s="46" t="n">
        <x:v>0.09827024925902528</x:v>
      </x:c>
      <x:c r="F192" t="n">
        <x:v>10</x:v>
      </x:c>
      <x:c r="G192" s="51" t="b">
        <x:v>0</x:v>
      </x:c>
      <x:c r="H192" s="51" t="b">
        <x:v>0</x:v>
      </x:c>
      <x:c r="I192" s="51" t="b">
        <x:v>1</x:v>
      </x:c>
      <x:c r="J192" s="51" t="b">
        <x:v>0</x:v>
      </x:c>
      <x:c r="K192" s="51" t="b">
        <x:v>0</x:v>
      </x:c>
      <x:c r="L192" s="51" t="b">
        <x:v>1</x:v>
      </x:c>
      <x:c r="M192" s="51" t="b">
        <x:v>0</x:v>
      </x:c>
      <x:c r="N192" s="51" t="b">
        <x:v>1</x:v>
      </x:c>
    </x:row>
    <x:row r="193">
      <x:c r="A193" t="str">
        <x:v>HINDUNILVR</x:v>
      </x:c>
      <x:c r="B193" s="52" t="n">
        <x:v>43906</x:v>
      </x:c>
      <x:c r="C193" s="53" t="n">
        <x:v>1941.9</x:v>
      </x:c>
      <x:c r="D193" s="46" t="n">
        <x:v>0.13028477264534732</x:v>
      </x:c>
      <x:c r="E193" s="46" t="n">
        <x:v>0.12485194912199393</x:v>
      </x:c>
      <x:c r="F193" t="n">
        <x:v>8</x:v>
      </x:c>
      <x:c r="G193" s="51" t="b">
        <x:v>0</x:v>
      </x:c>
      <x:c r="H193" s="51" t="b">
        <x:v>0</x:v>
      </x:c>
      <x:c r="I193" s="51" t="b">
        <x:v>0</x:v>
      </x:c>
      <x:c r="J193" s="51" t="b">
        <x:v>0</x:v>
      </x:c>
      <x:c r="K193" s="51" t="b">
        <x:v>0</x:v>
      </x:c>
      <x:c r="L193" s="51" t="b">
        <x:v>0</x:v>
      </x:c>
      <x:c r="M193" s="51" t="b">
        <x:v>0</x:v>
      </x:c>
      <x:c r="N193" s="51" t="b">
        <x:v>0</x:v>
      </x:c>
    </x:row>
    <x:row r="194">
      <x:c r="A194" t="str">
        <x:v>HINDUNILVR</x:v>
      </x:c>
      <x:c r="B194" s="52" t="n">
        <x:v>44018</x:v>
      </x:c>
      <x:c r="C194" s="53" t="n">
        <x:v>2161.6</x:v>
      </x:c>
      <x:c r="D194" s="46" t="n">
        <x:v>0.08001017764618812</x:v>
      </x:c>
      <x:c r="E194" s="46" t="n">
        <x:v>0.07834474463360475</x:v>
      </x:c>
      <x:c r="F194" t="n">
        <x:v>9</x:v>
      </x:c>
      <x:c r="G194" s="51" t="b">
        <x:v>0</x:v>
      </x:c>
      <x:c r="H194" s="51" t="b">
        <x:v>0</x:v>
      </x:c>
      <x:c r="I194" s="51" t="b">
        <x:v>0</x:v>
      </x:c>
      <x:c r="J194" s="51" t="b">
        <x:v>0</x:v>
      </x:c>
      <x:c r="K194" s="51" t="b">
        <x:v>0</x:v>
      </x:c>
      <x:c r="L194" s="51" t="b">
        <x:v>1</x:v>
      </x:c>
      <x:c r="M194" s="51" t="b">
        <x:v>1</x:v>
      </x:c>
      <x:c r="N194" s="51" t="b">
        <x:v>0</x:v>
      </x:c>
    </x:row>
    <x:row r="195">
      <x:c r="A195" t="str">
        <x:v>HINDUNILVR</x:v>
      </x:c>
      <x:c r="B195" s="52" t="n">
        <x:v>44160</x:v>
      </x:c>
      <x:c r="C195" s="53" t="n">
        <x:v>2135.85</x:v>
      </x:c>
      <x:c r="D195" s="46" t="n">
        <x:v>0.1004752206381534</x:v>
      </x:c>
      <x:c r="E195" s="46" t="n">
        <x:v>0.1004752206381534</x:v>
      </x:c>
      <x:c r="F195" t="n">
        <x:v>10</x:v>
      </x:c>
      <x:c r="G195" s="51" t="b">
        <x:v>0</x:v>
      </x:c>
      <x:c r="H195" s="51" t="b">
        <x:v>0</x:v>
      </x:c>
      <x:c r="I195" s="51" t="b">
        <x:v>0</x:v>
      </x:c>
      <x:c r="J195" s="51" t="b">
        <x:v>0</x:v>
      </x:c>
      <x:c r="K195" s="51" t="b">
        <x:v>0</x:v>
      </x:c>
      <x:c r="L195" s="51" t="b">
        <x:v>0</x:v>
      </x:c>
      <x:c r="M195" s="51" t="b">
        <x:v>1</x:v>
      </x:c>
      <x:c r="N195" s="51" t="b">
        <x:v>0</x:v>
      </x:c>
    </x:row>
    <x:row r="196">
      <x:c r="A196" t="str">
        <x:v>HINDUNILVR</x:v>
      </x:c>
      <x:c r="B196" s="52" t="n">
        <x:v>44225</x:v>
      </x:c>
      <x:c r="C196" s="53" t="n">
        <x:v>2263.9</x:v>
      </x:c>
      <x:c r="D196" s="46" t="n">
        <x:v>0.11062767790096717</x:v>
      </x:c>
      <x:c r="E196" s="46" t="n">
        <x:v>0.11062767790096717</x:v>
      </x:c>
      <x:c r="F196" t="n">
        <x:v>9</x:v>
      </x:c>
      <x:c r="G196" s="51" t="b">
        <x:v>0</x:v>
      </x:c>
      <x:c r="H196" s="51" t="b">
        <x:v>0</x:v>
      </x:c>
      <x:c r="I196" s="51" t="b">
        <x:v>0</x:v>
      </x:c>
      <x:c r="J196" s="51" t="b">
        <x:v>0</x:v>
      </x:c>
      <x:c r="K196" s="51" t="b">
        <x:v>0</x:v>
      </x:c>
      <x:c r="L196" s="51" t="b">
        <x:v>0</x:v>
      </x:c>
      <x:c r="M196" s="51" t="b">
        <x:v>1</x:v>
      </x:c>
      <x:c r="N196" s="51" t="b">
        <x:v>0</x:v>
      </x:c>
    </x:row>
    <x:row r="197">
      <x:c r="A197" t="str">
        <x:v>HINDUNILVR</x:v>
      </x:c>
      <x:c r="B197" s="52" t="n">
        <x:v>44413</x:v>
      </x:c>
      <x:c r="C197" s="53" t="n">
        <x:v>2357.7</x:v>
      </x:c>
      <x:c r="D197" s="46" t="n">
        <x:v>0.11099800653178948</x:v>
      </x:c>
      <x:c r="E197" s="46" t="n">
        <x:v>0.11099800653178948</x:v>
      </x:c>
      <x:c r="F197" t="n">
        <x:v>10</x:v>
      </x:c>
      <x:c r="G197" s="51" t="b">
        <x:v>0</x:v>
      </x:c>
      <x:c r="H197" s="51" t="b">
        <x:v>0</x:v>
      </x:c>
      <x:c r="I197" s="51" t="b">
        <x:v>0</x:v>
      </x:c>
      <x:c r="J197" s="51" t="b">
        <x:v>0</x:v>
      </x:c>
      <x:c r="K197" s="51" t="b">
        <x:v>0</x:v>
      </x:c>
      <x:c r="L197" s="51" t="b">
        <x:v>1</x:v>
      </x:c>
      <x:c r="M197" s="51" t="b">
        <x:v>1</x:v>
      </x:c>
      <x:c r="N197" s="51" t="b">
        <x:v>1</x:v>
      </x:c>
    </x:row>
    <x:row r="198">
      <x:c r="A198" t="str">
        <x:v>HINDUNILVR</x:v>
      </x:c>
      <x:c r="B198" s="52" t="n">
        <x:v>44627</x:v>
      </x:c>
      <x:c r="C198" s="53" t="n">
        <x:v>1943.95</x:v>
      </x:c>
      <x:c r="D198" s="46" t="n">
        <x:v>0.08132925229558374</x:v>
      </x:c>
      <x:c r="E198" s="46" t="n">
        <x:v>0.02548933871755965</x:v>
      </x:c>
      <x:c r="F198" t="n">
        <x:v>3</x:v>
      </x:c>
      <x:c r="G198" s="51" t="b">
        <x:v>0</x:v>
      </x:c>
      <x:c r="H198" s="51" t="b">
        <x:v>0</x:v>
      </x:c>
      <x:c r="I198" s="51" t="b">
        <x:v>1</x:v>
      </x:c>
      <x:c r="J198" s="51" t="b">
        <x:v>0</x:v>
      </x:c>
      <x:c r="K198" s="51" t="b">
        <x:v>0</x:v>
      </x:c>
      <x:c r="L198" s="51" t="b">
        <x:v>0</x:v>
      </x:c>
      <x:c r="M198" s="51" t="b">
        <x:v>0</x:v>
      </x:c>
      <x:c r="N198" s="51" t="b">
        <x:v>0</x:v>
      </x:c>
    </x:row>
    <x:row r="199">
      <x:c r="A199" t="str">
        <x:v>HINDUNILVR</x:v>
      </x:c>
      <x:c r="B199" s="52" t="n">
        <x:v>44643</x:v>
      </x:c>
      <x:c r="C199" s="53" t="n">
        <x:v>1978.55</x:v>
      </x:c>
      <x:c r="D199" s="46" t="n">
        <x:v>0.08263627403906915</x:v>
      </x:c>
      <x:c r="E199" s="46" t="n">
        <x:v>0.08263627403906915</x:v>
      </x:c>
      <x:c r="F199" t="n">
        <x:v>9</x:v>
      </x:c>
      <x:c r="G199" s="51" t="b">
        <x:v>0</x:v>
      </x:c>
      <x:c r="H199" s="51" t="b">
        <x:v>0</x:v>
      </x:c>
      <x:c r="I199" s="51" t="b">
        <x:v>1</x:v>
      </x:c>
      <x:c r="J199" s="51" t="b">
        <x:v>0</x:v>
      </x:c>
      <x:c r="K199" s="51" t="b">
        <x:v>0</x:v>
      </x:c>
      <x:c r="L199" s="51" t="b">
        <x:v>0</x:v>
      </x:c>
      <x:c r="M199" s="51" t="b">
        <x:v>1</x:v>
      </x:c>
      <x:c r="N199" s="51" t="b">
        <x:v>0</x:v>
      </x:c>
    </x:row>
    <x:row r="200">
      <x:c r="A200" t="str">
        <x:v>HINDUNILVR</x:v>
      </x:c>
      <x:c r="B200" s="52" t="n">
        <x:v>44687</x:v>
      </x:c>
      <x:c r="C200" s="53" t="n">
        <x:v>2149.2</x:v>
      </x:c>
      <x:c r="D200" s="46" t="n">
        <x:v>0.08223990321980268</x:v>
      </x:c>
      <x:c r="E200" s="46" t="n">
        <x:v>0.08223990321980268</x:v>
      </x:c>
      <x:c r="F200" t="n">
        <x:v>10</x:v>
      </x:c>
      <x:c r="G200" s="51" t="b">
        <x:v>0</x:v>
      </x:c>
      <x:c r="H200" s="51" t="b">
        <x:v>0</x:v>
      </x:c>
      <x:c r="I200" s="51" t="b">
        <x:v>0</x:v>
      </x:c>
      <x:c r="J200" s="51" t="b">
        <x:v>0</x:v>
      </x:c>
      <x:c r="K200" s="51" t="b">
        <x:v>1</x:v>
      </x:c>
      <x:c r="L200" s="51" t="b">
        <x:v>0</x:v>
      </x:c>
      <x:c r="M200" s="51" t="b">
        <x:v>0</x:v>
      </x:c>
      <x:c r="N200" s="51" t="b">
        <x:v>0</x:v>
      </x:c>
    </x:row>
    <x:row r="201">
      <x:c r="A201" t="str">
        <x:v>HINDUNILVR</x:v>
      </x:c>
      <x:c r="B201" s="52" t="n">
        <x:v>44727</x:v>
      </x:c>
      <x:c r="C201" s="53" t="n">
        <x:v>2146.55</x:v>
      </x:c>
      <x:c r="D201" s="46" t="n">
        <x:v>0.08110689245533531</x:v>
      </x:c>
      <x:c r="E201" s="46" t="n">
        <x:v>0.040483566653467085</x:v>
      </x:c>
      <x:c r="F201" t="n">
        <x:v>8</x:v>
      </x:c>
      <x:c r="G201" s="51" t="b">
        <x:v>0</x:v>
      </x:c>
      <x:c r="H201" s="51" t="b">
        <x:v>0</x:v>
      </x:c>
      <x:c r="I201" s="51" t="b">
        <x:v>0</x:v>
      </x:c>
      <x:c r="J201" s="51" t="b">
        <x:v>0</x:v>
      </x:c>
      <x:c r="K201" s="51" t="b">
        <x:v>0</x:v>
      </x:c>
      <x:c r="L201" s="51" t="b">
        <x:v>0</x:v>
      </x:c>
      <x:c r="M201" s="51" t="b">
        <x:v>0</x:v>
      </x:c>
      <x:c r="N201" s="51" t="b">
        <x:v>0</x:v>
      </x:c>
    </x:row>
    <x:row r="202">
      <x:c r="A202" t="str">
        <x:v>HINDUNILVR</x:v>
      </x:c>
      <x:c r="B202" s="52" t="n">
        <x:v>44881</x:v>
      </x:c>
      <x:c r="C202" s="53" t="n">
        <x:v>2477.85</x:v>
      </x:c>
      <x:c r="D202" s="46" t="n">
        <x:v>0.08333837802933997</x:v>
      </x:c>
      <x:c r="E202" s="46" t="n">
        <x:v>0.08333837802933997</x:v>
      </x:c>
      <x:c r="F202" t="n">
        <x:v>10</x:v>
      </x:c>
      <x:c r="G202" s="51" t="b">
        <x:v>0</x:v>
      </x:c>
      <x:c r="H202" s="51" t="b">
        <x:v>0</x:v>
      </x:c>
      <x:c r="I202" s="51" t="b">
        <x:v>1</x:v>
      </x:c>
      <x:c r="J202" s="51" t="b">
        <x:v>0</x:v>
      </x:c>
      <x:c r="K202" s="51" t="b">
        <x:v>0</x:v>
      </x:c>
      <x:c r="L202" s="51" t="b">
        <x:v>0</x:v>
      </x:c>
      <x:c r="M202" s="51" t="b">
        <x:v>1</x:v>
      </x:c>
      <x:c r="N202" s="51" t="b">
        <x:v>1</x:v>
      </x:c>
    </x:row>
    <x:row r="203">
      <x:c r="A203" t="str">
        <x:v>HINDUNILVR</x:v>
      </x:c>
      <x:c r="B203" s="52" t="n">
        <x:v>45044</x:v>
      </x:c>
      <x:c r="C203" s="53" t="n">
        <x:v>2457.3</x:v>
      </x:c>
      <x:c r="D203" s="46" t="n">
        <x:v>0.0834045497090301</x:v>
      </x:c>
      <x:c r="E203" s="46" t="n">
        <x:v>0.0834045497090301</x:v>
      </x:c>
      <x:c r="F203" t="n">
        <x:v>10</x:v>
      </x:c>
      <x:c r="G203" s="51" t="b">
        <x:v>0</x:v>
      </x:c>
      <x:c r="H203" s="51" t="b">
        <x:v>0</x:v>
      </x:c>
      <x:c r="I203" s="51" t="b">
        <x:v>0</x:v>
      </x:c>
      <x:c r="J203" s="51" t="b">
        <x:v>0</x:v>
      </x:c>
      <x:c r="K203" s="51" t="b">
        <x:v>0</x:v>
      </x:c>
      <x:c r="L203" s="51" t="b">
        <x:v>0</x:v>
      </x:c>
      <x:c r="M203" s="51" t="b">
        <x:v>0</x:v>
      </x:c>
      <x:c r="N203" s="51" t="b">
        <x:v>1</x:v>
      </x:c>
    </x:row>
    <x:row r="204">
      <x:c r="A204" t="str">
        <x:v>HINDUNILVR</x:v>
      </x:c>
      <x:c r="B204" s="52" t="n">
        <x:v>45433</x:v>
      </x:c>
      <x:c r="C204" s="53" t="n">
        <x:v>2310.7</x:v>
      </x:c>
      <x:c r="D204" s="46" t="n">
        <x:v>0.08032198035227434</x:v>
      </x:c>
      <x:c r="E204" s="46" t="n">
        <x:v>0.08032198035227434</x:v>
      </x:c>
      <x:c r="F204" t="n">
        <x:v>10</x:v>
      </x:c>
      <x:c r="G204" s="51" t="b">
        <x:v>0</x:v>
      </x:c>
      <x:c r="H204" s="51" t="b">
        <x:v>0</x:v>
      </x:c>
      <x:c r="I204" s="51" t="b">
        <x:v>0</x:v>
      </x:c>
      <x:c r="J204" s="51" t="b">
        <x:v>0</x:v>
      </x:c>
      <x:c r="K204" s="51" t="b">
        <x:v>1</x:v>
      </x:c>
      <x:c r="L204" s="51" t="b">
        <x:v>1</x:v>
      </x:c>
      <x:c r="M204" s="51" t="b">
        <x:v>0</x:v>
      </x:c>
      <x:c r="N204" s="51" t="b">
        <x:v>0</x:v>
      </x:c>
    </x:row>
    <x:row r="205">
      <x:c r="A205" t="str">
        <x:v>HINDUNILVR</x:v>
      </x:c>
      <x:c r="B205" s="52" t="n">
        <x:v>45475</x:v>
      </x:c>
      <x:c r="C205" s="53" t="n">
        <x:v>2485.15</x:v>
      </x:c>
      <x:c r="D205" s="46" t="n">
        <x:v>0.08180592720761304</x:v>
      </x:c>
      <x:c r="E205" s="46" t="n">
        <x:v>0.08180592720761304</x:v>
      </x:c>
      <x:c r="F205" t="n">
        <x:v>10</x:v>
      </x:c>
      <x:c r="G205" s="51" t="b">
        <x:v>0</x:v>
      </x:c>
      <x:c r="H205" s="51" t="b">
        <x:v>0</x:v>
      </x:c>
      <x:c r="I205" s="51" t="b">
        <x:v>1</x:v>
      </x:c>
      <x:c r="J205" s="51" t="b">
        <x:v>0</x:v>
      </x:c>
      <x:c r="K205" s="51" t="b">
        <x:v>0</x:v>
      </x:c>
      <x:c r="L205" s="51" t="b">
        <x:v>1</x:v>
      </x:c>
      <x:c r="M205" s="51" t="b">
        <x:v>0</x:v>
      </x:c>
      <x:c r="N205" s="51" t="b">
        <x:v>0</x:v>
      </x:c>
    </x:row>
    <x:row r="206">
      <x:c r="A206" t="str">
        <x:v>HINDUNILVR</x:v>
      </x:c>
      <x:c r="B206" s="52" t="n">
        <x:v>45835</x:v>
      </x:c>
      <x:c r="C206" s="53" t="n">
        <x:v>2306.9</x:v>
      </x:c>
      <x:c r="D206" s="46" t="n">
        <x:v>0.09220165590185947</x:v>
      </x:c>
      <x:c r="E206" s="46" t="n">
        <x:v>0.09220165590185947</x:v>
      </x:c>
      <x:c r="F206" t="n">
        <x:v>10</x:v>
      </x:c>
      <x:c r="G206" s="51" t="b">
        <x:v>0</x:v>
      </x:c>
      <x:c r="H206" s="51" t="b">
        <x:v>0</x:v>
      </x:c>
      <x:c r="I206" s="51" t="b">
        <x:v>1</x:v>
      </x:c>
      <x:c r="J206" s="51" t="b">
        <x:v>0</x:v>
      </x:c>
      <x:c r="K206" s="51" t="b">
        <x:v>0</x:v>
      </x:c>
      <x:c r="L206" s="51" t="b">
        <x:v>0</x:v>
      </x:c>
      <x:c r="M206" s="51" t="b">
        <x:v>0</x:v>
      </x:c>
      <x:c r="N206" s="51" t="b">
        <x:v>0</x:v>
      </x:c>
    </x:row>
    <x:row r="207">
      <x:c r="A207" t="str">
        <x:v>HINDUNILVR</x:v>
      </x:c>
      <x:c r="B207" s="52" t="n">
        <x:v>45881</x:v>
      </x:c>
      <x:c r="C207" s="53" t="n">
        <x:v>2483.8</x:v>
      </x:c>
      <x:c r="D207" s="46" t="n">
        <x:v>0.08406473951203797</x:v>
      </x:c>
      <x:c r="E207" s="46" t="n">
        <x:v>0.0686850793139544</x:v>
      </x:c>
      <x:c r="F207" t="n">
        <x:v>9</x:v>
      </x:c>
      <x:c r="G207" s="51" t="b">
        <x:v>0</x:v>
      </x:c>
      <x:c r="H207" s="51" t="b">
        <x:v>0</x:v>
      </x:c>
      <x:c r="I207" s="51" t="b">
        <x:v>0</x:v>
      </x:c>
      <x:c r="J207" s="51" t="b">
        <x:v>0</x:v>
      </x:c>
      <x:c r="K207" s="51" t="b">
        <x:v>0</x:v>
      </x:c>
      <x:c r="L207" s="51" t="b">
        <x:v>0</x:v>
      </x:c>
      <x:c r="M207" s="51" t="b">
        <x:v>0</x:v>
      </x:c>
      <x:c r="N207" s="51" t="b">
        <x:v>0</x:v>
      </x:c>
    </x:row>
    <x:row r="208">
      <x:c r="A208" t="str">
        <x:v>HINDUNILVR</x:v>
      </x:c>
      <x:c r="B208" s="52" t="n">
        <x:v>46113</x:v>
      </x:c>
      <x:c r="C208" s="53" t="n">
        <x:v>2064.7</x:v>
      </x:c>
      <x:c r="D208" s="46" t="n">
        <x:v>0.0852908412844482</x:v>
      </x:c>
      <x:c r="E208" s="46" t="n">
        <x:v>0.0852908412844482</x:v>
      </x:c>
      <x:c r="F208" t="n">
        <x:v>10</x:v>
      </x:c>
      <x:c r="G208" s="51" t="b">
        <x:v>0</x:v>
      </x:c>
      <x:c r="H208" s="51" t="b">
        <x:v>0</x:v>
      </x:c>
      <x:c r="I208" s="51" t="b">
        <x:v>0</x:v>
      </x:c>
      <x:c r="J208" s="51" t="b">
        <x:v>0</x:v>
      </x:c>
      <x:c r="K208" s="51" t="b">
        <x:v>0</x:v>
      </x:c>
      <x:c r="L208" s="51" t="b">
        <x:v>0</x:v>
      </x:c>
      <x:c r="M208" s="51" t="b">
        <x:v>0</x:v>
      </x:c>
      <x:c r="N208" s="51" t="b">
        <x:v>0</x:v>
      </x:c>
    </x:row>
    <x:row r="209">
      <x:c r="A209" t="str">
        <x:v>ICICIBANK</x:v>
      </x:c>
      <x:c r="B209" s="52" t="n">
        <x:v>44397</x:v>
      </x:c>
      <x:c r="C209" s="53" t="n">
        <x:v>641.9</x:v>
      </x:c>
      <x:c r="D209" s="46" t="n">
        <x:v>0.1133354105000779</x:v>
      </x:c>
      <x:c r="E209" s="46" t="n">
        <x:v>0.1133354105000779</x:v>
      </x:c>
      <x:c r="F209" t="n">
        <x:v>10</x:v>
      </x:c>
      <x:c r="G209" s="51" t="b">
        <x:v>0</x:v>
      </x:c>
      <x:c r="H209" s="51" t="b">
        <x:v>0</x:v>
      </x:c>
      <x:c r="I209" s="51" t="b">
        <x:v>0</x:v>
      </x:c>
      <x:c r="J209" s="51" t="b">
        <x:v>0</x:v>
      </x:c>
      <x:c r="K209" s="51" t="b">
        <x:v>0</x:v>
      </x:c>
      <x:c r="L209" s="51" t="b">
        <x:v>0</x:v>
      </x:c>
      <x:c r="M209" s="51" t="b">
        <x:v>1</x:v>
      </x:c>
      <x:c r="N209" s="51" t="b">
        <x:v>1</x:v>
      </x:c>
    </x:row>
    <x:row r="210">
      <x:c r="A210" t="str">
        <x:v>ICICIBANK</x:v>
      </x:c>
      <x:c r="B210" s="52" t="n">
        <x:v>44475</x:v>
      </x:c>
      <x:c r="C210" s="53" t="n">
        <x:v>689.5</x:v>
      </x:c>
      <x:c r="D210" s="46" t="n">
        <x:v>0.09572153734590283</x:v>
      </x:c>
      <x:c r="E210" s="46" t="n">
        <x:v>0.09572153734590283</x:v>
      </x:c>
      <x:c r="F210" t="n">
        <x:v>7</x:v>
      </x:c>
      <x:c r="G210" s="51" t="b">
        <x:v>0</x:v>
      </x:c>
      <x:c r="H210" s="51" t="b">
        <x:v>0</x:v>
      </x:c>
      <x:c r="I210" s="51" t="b">
        <x:v>0</x:v>
      </x:c>
      <x:c r="J210" s="51" t="b">
        <x:v>0</x:v>
      </x:c>
      <x:c r="K210" s="51" t="b">
        <x:v>0</x:v>
      </x:c>
      <x:c r="L210" s="51" t="b">
        <x:v>1</x:v>
      </x:c>
      <x:c r="M210" s="51" t="b">
        <x:v>1</x:v>
      </x:c>
      <x:c r="N210" s="51" t="b">
        <x:v>1</x:v>
      </x:c>
    </x:row>
    <x:row r="211">
      <x:c r="A211" t="str">
        <x:v>ICICIBANK</x:v>
      </x:c>
      <x:c r="B211" s="52" t="n">
        <x:v>44554</x:v>
      </x:c>
      <x:c r="C211" s="53" t="n">
        <x:v>727.1</x:v>
      </x:c>
      <x:c r="D211" s="46" t="n">
        <x:v>0.09097785724109464</x:v>
      </x:c>
      <x:c r="E211" s="46" t="n">
        <x:v>0.09097785724109464</x:v>
      </x:c>
      <x:c r="F211" t="n">
        <x:v>8</x:v>
      </x:c>
      <x:c r="G211" s="51" t="b">
        <x:v>0</x:v>
      </x:c>
      <x:c r="H211" s="51" t="b">
        <x:v>0</x:v>
      </x:c>
      <x:c r="I211" s="51" t="b">
        <x:v>0</x:v>
      </x:c>
      <x:c r="J211" s="51" t="b">
        <x:v>0</x:v>
      </x:c>
      <x:c r="K211" s="51" t="b">
        <x:v>1</x:v>
      </x:c>
      <x:c r="L211" s="51" t="b">
        <x:v>0</x:v>
      </x:c>
      <x:c r="M211" s="51" t="b">
        <x:v>1</x:v>
      </x:c>
      <x:c r="N211" s="51" t="b">
        <x:v>1</x:v>
      </x:c>
    </x:row>
    <x:row r="212">
      <x:c r="A212" t="str">
        <x:v>ICICIBANK</x:v>
      </x:c>
      <x:c r="B212" s="52" t="n">
        <x:v>44627</x:v>
      </x:c>
      <x:c r="C212" s="53" t="n">
        <x:v>653.75</x:v>
      </x:c>
      <x:c r="D212" s="46" t="n">
        <x:v>0.10149139579349908</x:v>
      </x:c>
      <x:c r="E212" s="46" t="n">
        <x:v>0.09858508604206517</x:v>
      </x:c>
      <x:c r="F212" t="n">
        <x:v>7</x:v>
      </x:c>
      <x:c r="G212" s="51" t="b">
        <x:v>0</x:v>
      </x:c>
      <x:c r="H212" s="51" t="b">
        <x:v>0</x:v>
      </x:c>
      <x:c r="I212" s="51" t="b">
        <x:v>0</x:v>
      </x:c>
      <x:c r="J212" s="51" t="b">
        <x:v>0</x:v>
      </x:c>
      <x:c r="K212" s="51" t="b">
        <x:v>0</x:v>
      </x:c>
      <x:c r="L212" s="51" t="b">
        <x:v>0</x:v>
      </x:c>
      <x:c r="M212" s="51" t="b">
        <x:v>0</x:v>
      </x:c>
      <x:c r="N212" s="51" t="b">
        <x:v>0</x:v>
      </x:c>
    </x:row>
    <x:row r="213">
      <x:c r="A213" t="str">
        <x:v>ICICIBANK</x:v>
      </x:c>
      <x:c r="B213" s="52" t="n">
        <x:v>44694</x:v>
      </x:c>
      <x:c r="C213" s="53" t="n">
        <x:v>677.35</x:v>
      </x:c>
      <x:c r="D213" s="46" t="n">
        <x:v>0.09219753450948542</x:v>
      </x:c>
      <x:c r="E213" s="46" t="n">
        <x:v>0.09219753450948542</x:v>
      </x:c>
      <x:c r="F213" t="n">
        <x:v>10</x:v>
      </x:c>
      <x:c r="G213" s="51" t="b">
        <x:v>0</x:v>
      </x:c>
      <x:c r="H213" s="51" t="b">
        <x:v>0</x:v>
      </x:c>
      <x:c r="I213" s="51" t="b">
        <x:v>1</x:v>
      </x:c>
      <x:c r="J213" s="51" t="b">
        <x:v>0</x:v>
      </x:c>
      <x:c r="K213" s="51" t="b">
        <x:v>0</x:v>
      </x:c>
      <x:c r="L213" s="51" t="b">
        <x:v>0</x:v>
      </x:c>
      <x:c r="M213" s="51" t="b">
        <x:v>0</x:v>
      </x:c>
      <x:c r="N213" s="51" t="b">
        <x:v>0</x:v>
      </x:c>
    </x:row>
    <x:row r="214">
      <x:c r="A214" t="str">
        <x:v>ICICIBANK</x:v>
      </x:c>
      <x:c r="B214" s="52" t="n">
        <x:v>44740</x:v>
      </x:c>
      <x:c r="C214" s="53" t="n">
        <x:v>710.3</x:v>
      </x:c>
      <x:c r="D214" s="46" t="n">
        <x:v>0.08334506546529652</x:v>
      </x:c>
      <x:c r="E214" s="46" t="n">
        <x:v>0.06982964944389702</x:v>
      </x:c>
      <x:c r="F214" t="n">
        <x:v>9</x:v>
      </x:c>
      <x:c r="G214" s="51" t="b">
        <x:v>0</x:v>
      </x:c>
      <x:c r="H214" s="51" t="b">
        <x:v>0</x:v>
      </x:c>
      <x:c r="I214" s="51" t="b">
        <x:v>0</x:v>
      </x:c>
      <x:c r="J214" s="51" t="b">
        <x:v>0</x:v>
      </x:c>
      <x:c r="K214" s="51" t="b">
        <x:v>0</x:v>
      </x:c>
      <x:c r="L214" s="51" t="b">
        <x:v>0</x:v>
      </x:c>
      <x:c r="M214" s="51" t="b">
        <x:v>0</x:v>
      </x:c>
      <x:c r="N214" s="51" t="b">
        <x:v>0</x:v>
      </x:c>
    </x:row>
    <x:row r="215">
      <x:c r="A215" t="str">
        <x:v>ICICIBANK</x:v>
      </x:c>
      <x:c r="B215" s="52" t="n">
        <x:v>44756</x:v>
      </x:c>
      <x:c r="C215" s="53" t="n">
        <x:v>752.4</x:v>
      </x:c>
      <x:c r="D215" s="46" t="n">
        <x:v>0.08266879319510911</x:v>
      </x:c>
      <x:c r="E215" s="46" t="n">
        <x:v>0.08266879319510911</x:v>
      </x:c>
      <x:c r="F215" t="n">
        <x:v>10</x:v>
      </x:c>
      <x:c r="G215" s="51" t="b">
        <x:v>0</x:v>
      </x:c>
      <x:c r="H215" s="51" t="b">
        <x:v>0</x:v>
      </x:c>
      <x:c r="I215" s="51" t="b">
        <x:v>0</x:v>
      </x:c>
      <x:c r="J215" s="51" t="b">
        <x:v>0</x:v>
      </x:c>
      <x:c r="K215" s="51" t="b">
        <x:v>1</x:v>
      </x:c>
      <x:c r="L215" s="51" t="b">
        <x:v>0</x:v>
      </x:c>
      <x:c r="M215" s="51" t="b">
        <x:v>0</x:v>
      </x:c>
      <x:c r="N215" s="51" t="b">
        <x:v>1</x:v>
      </x:c>
    </x:row>
    <x:row r="216">
      <x:c r="A216" t="str">
        <x:v>ICICIBANK</x:v>
      </x:c>
      <x:c r="B216" s="52" t="n">
        <x:v>44775</x:v>
      </x:c>
      <x:c r="C216" s="53" t="n">
        <x:v>817.75</x:v>
      </x:c>
      <x:c r="D216" s="46" t="n">
        <x:v>0.08236013451543878</x:v>
      </x:c>
      <x:c r="E216" s="46" t="n">
        <x:v>0.08236013451543878</x:v>
      </x:c>
      <x:c r="F216" t="n">
        <x:v>9</x:v>
      </x:c>
      <x:c r="G216" s="51" t="b">
        <x:v>0</x:v>
      </x:c>
      <x:c r="H216" s="51" t="b">
        <x:v>0</x:v>
      </x:c>
      <x:c r="I216" s="51" t="b">
        <x:v>0</x:v>
      </x:c>
      <x:c r="J216" s="51" t="b">
        <x:v>0</x:v>
      </x:c>
      <x:c r="K216" s="51" t="b">
        <x:v>0</x:v>
      </x:c>
      <x:c r="L216" s="51" t="b">
        <x:v>0</x:v>
      </x:c>
      <x:c r="M216" s="51" t="b">
        <x:v>1</x:v>
      </x:c>
      <x:c r="N216" s="51" t="b">
        <x:v>1</x:v>
      </x:c>
    </x:row>
    <x:row r="217">
      <x:c r="A217" t="str">
        <x:v>ICICIBANK</x:v>
      </x:c>
      <x:c r="B217" s="52" t="n">
        <x:v>44847</x:v>
      </x:c>
      <x:c r="C217" s="53" t="n">
        <x:v>853.6</x:v>
      </x:c>
      <x:c r="D217" s="46" t="n">
        <x:v>0.0851686972820993</x:v>
      </x:c>
      <x:c r="E217" s="46" t="n">
        <x:v>0.06355435801312082</x:v>
      </x:c>
      <x:c r="F217" t="n">
        <x:v>7</x:v>
      </x:c>
      <x:c r="G217" s="51" t="b">
        <x:v>0</x:v>
      </x:c>
      <x:c r="H217" s="51" t="b">
        <x:v>0</x:v>
      </x:c>
      <x:c r="I217" s="51" t="b">
        <x:v>0</x:v>
      </x:c>
      <x:c r="J217" s="51" t="b">
        <x:v>0</x:v>
      </x:c>
      <x:c r="K217" s="51" t="b">
        <x:v>0</x:v>
      </x:c>
      <x:c r="L217" s="51" t="b">
        <x:v>0</x:v>
      </x:c>
      <x:c r="M217" s="51" t="b">
        <x:v>0</x:v>
      </x:c>
      <x:c r="N217" s="51" t="b">
        <x:v>0</x:v>
      </x:c>
    </x:row>
    <x:row r="218">
      <x:c r="A218" t="str">
        <x:v>ICICIBANK</x:v>
      </x:c>
      <x:c r="B218" s="52" t="n">
        <x:v>45250</x:v>
      </x:c>
      <x:c r="C218" s="53" t="n">
        <x:v>921.45</x:v>
      </x:c>
      <x:c r="D218" s="46" t="n">
        <x:v>0.09984263931846549</x:v>
      </x:c>
      <x:c r="E218" s="46" t="n">
        <x:v>0.09984263931846549</x:v>
      </x:c>
      <x:c r="F218" t="n">
        <x:v>10</x:v>
      </x:c>
      <x:c r="G218" s="51" t="b">
        <x:v>0</x:v>
      </x:c>
      <x:c r="H218" s="51" t="b">
        <x:v>0</x:v>
      </x:c>
      <x:c r="I218" s="51" t="b">
        <x:v>0</x:v>
      </x:c>
      <x:c r="J218" s="51" t="b">
        <x:v>0</x:v>
      </x:c>
      <x:c r="K218" s="51" t="b">
        <x:v>0</x:v>
      </x:c>
      <x:c r="L218" s="51" t="b">
        <x:v>1</x:v>
      </x:c>
      <x:c r="M218" s="51" t="b">
        <x:v>0</x:v>
      </x:c>
      <x:c r="N218" s="51" t="b">
        <x:v>1</x:v>
      </x:c>
    </x:row>
    <x:row r="219">
      <x:c r="A219" t="str">
        <x:v>ICICIBANK</x:v>
      </x:c>
      <x:c r="B219" s="52" t="n">
        <x:v>45398</x:v>
      </x:c>
      <x:c r="C219" s="53" t="n">
        <x:v>1067.05</x:v>
      </x:c>
      <x:c r="D219" s="46" t="n">
        <x:v>0.08724989456913934</x:v>
      </x:c>
      <x:c r="E219" s="46" t="n">
        <x:v>0.0678506161848087</x:v>
      </x:c>
      <x:c r="F219" t="n">
        <x:v>8</x:v>
      </x:c>
      <x:c r="G219" s="51" t="b">
        <x:v>0</x:v>
      </x:c>
      <x:c r="H219" s="51" t="b">
        <x:v>0</x:v>
      </x:c>
      <x:c r="I219" s="51" t="b">
        <x:v>0</x:v>
      </x:c>
      <x:c r="J219" s="51" t="b">
        <x:v>0</x:v>
      </x:c>
      <x:c r="K219" s="51" t="b">
        <x:v>0</x:v>
      </x:c>
      <x:c r="L219" s="51" t="b">
        <x:v>1</x:v>
      </x:c>
      <x:c r="M219" s="51" t="b">
        <x:v>0</x:v>
      </x:c>
      <x:c r="N219" s="51" t="b">
        <x:v>1</x:v>
      </x:c>
    </x:row>
    <x:row r="220">
      <x:c r="A220" t="str">
        <x:v>ICICIBANK</x:v>
      </x:c>
      <x:c r="B220" s="52" t="n">
        <x:v>45454</x:v>
      </x:c>
      <x:c r="C220" s="53" t="n">
        <x:v>1118.2</x:v>
      </x:c>
      <x:c r="D220" s="46" t="n">
        <x:v>0.0892505812913611</x:v>
      </x:c>
      <x:c r="E220" s="46" t="n">
        <x:v>0.0892505812913611</x:v>
      </x:c>
      <x:c r="F220" t="n">
        <x:v>10</x:v>
      </x:c>
      <x:c r="G220" s="51" t="b">
        <x:v>0</x:v>
      </x:c>
      <x:c r="H220" s="51" t="b">
        <x:v>0</x:v>
      </x:c>
      <x:c r="I220" s="51" t="b">
        <x:v>0</x:v>
      </x:c>
      <x:c r="J220" s="51" t="b">
        <x:v>0</x:v>
      </x:c>
      <x:c r="K220" s="51" t="b">
        <x:v>0</x:v>
      </x:c>
      <x:c r="L220" s="51" t="b">
        <x:v>0</x:v>
      </x:c>
      <x:c r="M220" s="51" t="b">
        <x:v>0</x:v>
      </x:c>
      <x:c r="N220" s="51" t="b">
        <x:v>1</x:v>
      </x:c>
    </x:row>
    <x:row r="221">
      <x:c r="A221" t="str">
        <x:v>ICICIBANK</x:v>
      </x:c>
      <x:c r="B221" s="52" t="n">
        <x:v>45541</x:v>
      </x:c>
      <x:c r="C221" s="53" t="n">
        <x:v>1208.15</x:v>
      </x:c>
      <x:c r="D221" s="46" t="n">
        <x:v>0.10785084633530606</x:v>
      </x:c>
      <x:c r="E221" s="46" t="n">
        <x:v>0.10785084633530606</x:v>
      </x:c>
      <x:c r="F221" t="n">
        <x:v>10</x:v>
      </x:c>
      <x:c r="G221" s="51" t="b">
        <x:v>0</x:v>
      </x:c>
      <x:c r="H221" s="51" t="b">
        <x:v>0</x:v>
      </x:c>
      <x:c r="I221" s="51" t="b">
        <x:v>0</x:v>
      </x:c>
      <x:c r="J221" s="51" t="b">
        <x:v>0</x:v>
      </x:c>
      <x:c r="K221" s="51" t="b">
        <x:v>1</x:v>
      </x:c>
      <x:c r="L221" s="51" t="b">
        <x:v>0</x:v>
      </x:c>
      <x:c r="M221" s="51" t="b">
        <x:v>0</x:v>
      </x:c>
      <x:c r="N221" s="51" t="b">
        <x:v>0</x:v>
      </x:c>
    </x:row>
    <x:row r="222">
      <x:c r="A222" t="str">
        <x:v>ICICIBANK</x:v>
      </x:c>
      <x:c r="B222" s="52" t="n">
        <x:v>45582</x:v>
      </x:c>
      <x:c r="C222" s="53" t="n">
        <x:v>1231.25</x:v>
      </x:c>
      <x:c r="D222" s="46" t="n">
        <x:v>0.08170558375634518</x:v>
      </x:c>
      <x:c r="E222" s="46" t="n">
        <x:v>0.04954314720812181</x:v>
      </x:c>
      <x:c r="F222" t="n">
        <x:v>8</x:v>
      </x:c>
      <x:c r="G222" s="51" t="b">
        <x:v>0</x:v>
      </x:c>
      <x:c r="H222" s="51" t="b">
        <x:v>0</x:v>
      </x:c>
      <x:c r="I222" s="51" t="b">
        <x:v>1</x:v>
      </x:c>
      <x:c r="J222" s="51" t="b">
        <x:v>0</x:v>
      </x:c>
      <x:c r="K222" s="51" t="b">
        <x:v>0</x:v>
      </x:c>
      <x:c r="L222" s="51" t="b">
        <x:v>0</x:v>
      </x:c>
      <x:c r="M222" s="51" t="b">
        <x:v>0</x:v>
      </x:c>
      <x:c r="N222" s="51" t="b">
        <x:v>0</x:v>
      </x:c>
    </x:row>
    <x:row r="223">
      <x:c r="A223" t="str">
        <x:v>ICICIBANK</x:v>
      </x:c>
      <x:c r="B223" s="52" t="n">
        <x:v>45719</x:v>
      </x:c>
      <x:c r="C223" s="53" t="n">
        <x:v>1206.2</x:v>
      </x:c>
      <x:c r="D223" s="46" t="n">
        <x:v>0.08593102304758737</x:v>
      </x:c>
      <x:c r="E223" s="46" t="n">
        <x:v>0.08593102304758737</x:v>
      </x:c>
      <x:c r="F223" t="n">
        <x:v>10</x:v>
      </x:c>
      <x:c r="G223" s="51" t="b">
        <x:v>0</x:v>
      </x:c>
      <x:c r="H223" s="51" t="b">
        <x:v>0</x:v>
      </x:c>
      <x:c r="I223" s="51" t="b">
        <x:v>1</x:v>
      </x:c>
      <x:c r="J223" s="51" t="b">
        <x:v>0</x:v>
      </x:c>
      <x:c r="K223" s="51" t="b">
        <x:v>0</x:v>
      </x:c>
      <x:c r="L223" s="51" t="b">
        <x:v>0</x:v>
      </x:c>
      <x:c r="M223" s="51" t="b">
        <x:v>0</x:v>
      </x:c>
      <x:c r="N223" s="51" t="b">
        <x:v>0</x:v>
      </x:c>
    </x:row>
    <x:row r="224">
      <x:c r="A224" t="str">
        <x:v>ICICIBANK</x:v>
      </x:c>
      <x:c r="B224" s="52" t="n">
        <x:v>45754</x:v>
      </x:c>
      <x:c r="C224" s="53" t="n">
        <x:v>1287.55</x:v>
      </x:c>
      <x:c r="D224" s="46" t="n">
        <x:v>0.10628713448021454</x:v>
      </x:c>
      <x:c r="E224" s="46" t="n">
        <x:v>0.0894334200613569</x:v>
      </x:c>
      <x:c r="F224" t="n">
        <x:v>6</x:v>
      </x:c>
      <x:c r="G224" s="51" t="b">
        <x:v>0</x:v>
      </x:c>
      <x:c r="H224" s="51" t="b">
        <x:v>0</x:v>
      </x:c>
      <x:c r="I224" s="51" t="b">
        <x:v>1</x:v>
      </x:c>
      <x:c r="J224" s="51" t="b">
        <x:v>0</x:v>
      </x:c>
      <x:c r="K224" s="51" t="b">
        <x:v>1</x:v>
      </x:c>
      <x:c r="L224" s="51" t="b">
        <x:v>0</x:v>
      </x:c>
      <x:c r="M224" s="51" t="b">
        <x:v>0</x:v>
      </x:c>
      <x:c r="N224" s="51" t="b">
        <x:v>0</x:v>
      </x:c>
    </x:row>
    <x:row r="225">
      <x:c r="A225" t="str">
        <x:v>ICICIBANK</x:v>
      </x:c>
      <x:c r="B225" s="52" t="n">
        <x:v>46108</x:v>
      </x:c>
      <x:c r="C225" s="53" t="n">
        <x:v>1233.8</x:v>
      </x:c>
      <x:c r="D225" s="46" t="n">
        <x:v>0.09507213486788779</x:v>
      </x:c>
      <x:c r="E225" s="46" t="n">
        <x:v>0.09264062246717453</x:v>
      </x:c>
      <x:c r="F225" t="n">
        <x:v>9</x:v>
      </x:c>
      <x:c r="G225" s="51" t="b">
        <x:v>0</x:v>
      </x:c>
      <x:c r="H225" s="51" t="b">
        <x:v>0</x:v>
      </x:c>
      <x:c r="I225" s="51" t="b">
        <x:v>0</x:v>
      </x:c>
      <x:c r="J225" s="51" t="b">
        <x:v>0</x:v>
      </x:c>
      <x:c r="K225" s="51" t="b">
        <x:v>0</x:v>
      </x:c>
      <x:c r="L225" s="51" t="b">
        <x:v>1</x:v>
      </x:c>
      <x:c r="M225" s="51" t="b">
        <x:v>0</x:v>
      </x:c>
      <x:c r="N225" s="51" t="b">
        <x:v>0</x:v>
      </x:c>
    </x:row>
    <x:row r="226">
      <x:c r="A226" t="str">
        <x:v>INFY</x:v>
      </x:c>
      <x:c r="B226" s="52" t="n">
        <x:v>42429</x:v>
      </x:c>
      <x:c r="C226" s="53" t="n">
        <x:v>1084.05</x:v>
      </x:c>
      <x:c r="D226" s="46" t="n">
        <x:v>0.08712697753793641</x:v>
      </x:c>
      <x:c r="E226" s="46" t="n">
        <x:v>0.04644619713112874</x:v>
      </x:c>
      <x:c r="F226" t="n">
        <x:v>6</x:v>
      </x:c>
      <x:c r="G226" s="51" t="b">
        <x:v>0</x:v>
      </x:c>
      <x:c r="H226" s="51" t="b">
        <x:v>0</x:v>
      </x:c>
      <x:c r="I226" s="51" t="b">
        <x:v>0</x:v>
      </x:c>
      <x:c r="J226" s="51" t="b">
        <x:v>0</x:v>
      </x:c>
      <x:c r="K226" s="51" t="b">
        <x:v>0</x:v>
      </x:c>
      <x:c r="L226" s="51" t="b">
        <x:v>0</x:v>
      </x:c>
      <x:c r="M226" s="51" t="b">
        <x:v>0</x:v>
      </x:c>
      <x:c r="N226" s="51" t="b">
        <x:v>0</x:v>
      </x:c>
    </x:row>
    <x:row r="227">
      <x:c r="A227" t="str">
        <x:v>INFY</x:v>
      </x:c>
      <x:c r="B227" s="52" t="n">
        <x:v>42768</x:v>
      </x:c>
      <x:c r="C227" s="53" t="n">
        <x:v>935.9</x:v>
      </x:c>
      <x:c r="D227" s="46" t="n">
        <x:v>0.0814189550165616</x:v>
      </x:c>
      <x:c r="E227" s="46" t="n">
        <x:v>0.0814189550165616</x:v>
      </x:c>
      <x:c r="F227" t="n">
        <x:v>10</x:v>
      </x:c>
      <x:c r="G227" s="51" t="b">
        <x:v>0</x:v>
      </x:c>
      <x:c r="H227" s="51" t="b">
        <x:v>0</x:v>
      </x:c>
      <x:c r="I227" s="51" t="b">
        <x:v>0</x:v>
      </x:c>
      <x:c r="J227" s="51" t="b">
        <x:v>0</x:v>
      </x:c>
      <x:c r="K227" s="51" t="b">
        <x:v>0</x:v>
      </x:c>
      <x:c r="L227" s="51" t="b">
        <x:v>0</x:v>
      </x:c>
      <x:c r="M227" s="51" t="b">
        <x:v>1</x:v>
      </x:c>
      <x:c r="N227" s="51" t="b">
        <x:v>0</x:v>
      </x:c>
    </x:row>
    <x:row r="228">
      <x:c r="A228" t="str">
        <x:v>INFY</x:v>
      </x:c>
      <x:c r="B228" s="52" t="n">
        <x:v>43102</x:v>
      </x:c>
      <x:c r="C228" s="53" t="n">
        <x:v>1029.7</x:v>
      </x:c>
      <x:c r="D228" s="46" t="n">
        <x:v>0.09046324172088949</x:v>
      </x:c>
      <x:c r="E228" s="46" t="n">
        <x:v>0.09046324172088949</x:v>
      </x:c>
      <x:c r="F228" t="n">
        <x:v>10</x:v>
      </x:c>
      <x:c r="G228" s="51" t="b">
        <x:v>0</x:v>
      </x:c>
      <x:c r="H228" s="51" t="b">
        <x:v>0</x:v>
      </x:c>
      <x:c r="I228" s="51" t="b">
        <x:v>1</x:v>
      </x:c>
      <x:c r="J228" s="51" t="b">
        <x:v>0</x:v>
      </x:c>
      <x:c r="K228" s="51" t="b">
        <x:v>0</x:v>
      </x:c>
      <x:c r="L228" s="51" t="b">
        <x:v>0</x:v>
      </x:c>
      <x:c r="M228" s="51" t="b">
        <x:v>1</x:v>
      </x:c>
      <x:c r="N228" s="51" t="b">
        <x:v>1</x:v>
      </x:c>
    </x:row>
    <x:row r="229">
      <x:c r="A229" t="str">
        <x:v>INFY</x:v>
      </x:c>
      <x:c r="B229" s="52" t="n">
        <x:v>43270</x:v>
      </x:c>
      <x:c r="C229" s="53" t="n">
        <x:v>1241.6</x:v>
      </x:c>
      <x:c r="D229" s="46" t="n">
        <x:v>0.09032699742268058</x:v>
      </x:c>
      <x:c r="E229" s="46" t="n">
        <x:v>0.09032699742268058</x:v>
      </x:c>
      <x:c r="F229" t="n">
        <x:v>10</x:v>
      </x:c>
      <x:c r="G229" s="51" t="b">
        <x:v>0</x:v>
      </x:c>
      <x:c r="H229" s="51" t="b">
        <x:v>0</x:v>
      </x:c>
      <x:c r="I229" s="51" t="b">
        <x:v>0</x:v>
      </x:c>
      <x:c r="J229" s="51" t="b">
        <x:v>0</x:v>
      </x:c>
      <x:c r="K229" s="51" t="b">
        <x:v>1</x:v>
      </x:c>
      <x:c r="L229" s="51" t="b">
        <x:v>0</x:v>
      </x:c>
      <x:c r="M229" s="51" t="b">
        <x:v>0</x:v>
      </x:c>
      <x:c r="N229" s="51" t="b">
        <x:v>1</x:v>
      </x:c>
    </x:row>
    <x:row r="230">
      <x:c r="A230" t="str">
        <x:v>INFY</x:v>
      </x:c>
      <x:c r="B230" s="52" t="n">
        <x:v>43399</x:v>
      </x:c>
      <x:c r="C230" s="53" t="n">
        <x:v>633.6</x:v>
      </x:c>
      <x:c r="D230" s="46" t="n">
        <x:v>0.08333333333333326</x:v>
      </x:c>
      <x:c r="E230" s="46" t="n">
        <x:v>0.048295454545454586</x:v>
      </x:c>
      <x:c r="F230" t="n">
        <x:v>3</x:v>
      </x:c>
      <x:c r="G230" s="51" t="b">
        <x:v>0</x:v>
      </x:c>
      <x:c r="H230" s="51" t="b">
        <x:v>0</x:v>
      </x:c>
      <x:c r="I230" s="51" t="b">
        <x:v>0</x:v>
      </x:c>
      <x:c r="J230" s="51" t="b">
        <x:v>0</x:v>
      </x:c>
      <x:c r="K230" s="51" t="b">
        <x:v>0</x:v>
      </x:c>
      <x:c r="L230" s="51" t="b">
        <x:v>0</x:v>
      </x:c>
      <x:c r="M230" s="51" t="b">
        <x:v>0</x:v>
      </x:c>
      <x:c r="N230" s="51" t="b">
        <x:v>1</x:v>
      </x:c>
    </x:row>
    <x:row r="231">
      <x:c r="A231" t="str">
        <x:v>INFY</x:v>
      </x:c>
      <x:c r="B231" s="52" t="n">
        <x:v>43425</x:v>
      </x:c>
      <x:c r="C231" s="53" t="n">
        <x:v>619.1</x:v>
      </x:c>
      <x:c r="D231" s="46" t="n">
        <x:v>0.10684865126796961</x:v>
      </x:c>
      <x:c r="E231" s="46" t="n">
        <x:v>0.07979324826360834</x:v>
      </x:c>
      <x:c r="F231" t="n">
        <x:v>7</x:v>
      </x:c>
      <x:c r="G231" s="51" t="b">
        <x:v>0</x:v>
      </x:c>
      <x:c r="H231" s="51" t="b">
        <x:v>0</x:v>
      </x:c>
      <x:c r="I231" s="51" t="b">
        <x:v>0</x:v>
      </x:c>
      <x:c r="J231" s="51" t="b">
        <x:v>0</x:v>
      </x:c>
      <x:c r="K231" s="51" t="b">
        <x:v>0</x:v>
      </x:c>
      <x:c r="L231" s="51" t="b">
        <x:v>0</x:v>
      </x:c>
      <x:c r="M231" s="51" t="b">
        <x:v>0</x:v>
      </x:c>
      <x:c r="N231" s="51" t="b">
        <x:v>1</x:v>
      </x:c>
    </x:row>
    <x:row r="232">
      <x:c r="A232" t="str">
        <x:v>INFY</x:v>
      </x:c>
      <x:c r="B232" s="52" t="n">
        <x:v>43466</x:v>
      </x:c>
      <x:c r="C232" s="53" t="n">
        <x:v>665.05</x:v>
      </x:c>
      <x:c r="D232" s="46" t="n">
        <x:v>0.09254943237350588</x:v>
      </x:c>
      <x:c r="E232" s="46" t="n">
        <x:v>0.09254943237350588</x:v>
      </x:c>
      <x:c r="F232" t="n">
        <x:v>10</x:v>
      </x:c>
      <x:c r="G232" s="51" t="b">
        <x:v>0</x:v>
      </x:c>
      <x:c r="H232" s="51" t="b">
        <x:v>0</x:v>
      </x:c>
      <x:c r="I232" s="51" t="b">
        <x:v>0</x:v>
      </x:c>
      <x:c r="J232" s="51" t="b">
        <x:v>0</x:v>
      </x:c>
      <x:c r="K232" s="51" t="b">
        <x:v>0</x:v>
      </x:c>
      <x:c r="L232" s="51" t="b">
        <x:v>0</x:v>
      </x:c>
      <x:c r="M232" s="51" t="b">
        <x:v>1</x:v>
      </x:c>
      <x:c r="N232" s="51" t="b">
        <x:v>1</x:v>
      </x:c>
    </x:row>
    <x:row r="233">
      <x:c r="A233" t="str">
        <x:v>INFY</x:v>
      </x:c>
      <x:c r="B233" s="52" t="n">
        <x:v>43649</x:v>
      </x:c>
      <x:c r="C233" s="53" t="n">
        <x:v>731.3</x:v>
      </x:c>
      <x:c r="D233" s="46" t="n">
        <x:v>0.08594284151511022</x:v>
      </x:c>
      <x:c r="E233" s="46" t="n">
        <x:v>0.08594284151511022</x:v>
      </x:c>
      <x:c r="F233" t="n">
        <x:v>10</x:v>
      </x:c>
      <x:c r="G233" s="51" t="b">
        <x:v>0</x:v>
      </x:c>
      <x:c r="H233" s="51" t="b">
        <x:v>0</x:v>
      </x:c>
      <x:c r="I233" s="51" t="b">
        <x:v>1</x:v>
      </x:c>
      <x:c r="J233" s="51" t="b">
        <x:v>0</x:v>
      </x:c>
      <x:c r="K233" s="51" t="b">
        <x:v>0</x:v>
      </x:c>
      <x:c r="L233" s="51" t="b">
        <x:v>0</x:v>
      </x:c>
      <x:c r="M233" s="51" t="b">
        <x:v>1</x:v>
      </x:c>
      <x:c r="N233" s="51" t="b">
        <x:v>1</x:v>
      </x:c>
    </x:row>
    <x:row r="234">
      <x:c r="A234" t="str">
        <x:v>INFY</x:v>
      </x:c>
      <x:c r="B234" s="52" t="n">
        <x:v>43760</x:v>
      </x:c>
      <x:c r="C234" s="53" t="n">
        <x:v>643.55</x:v>
      </x:c>
      <x:c r="D234" s="46" t="n">
        <x:v>0.10170149949498875</x:v>
      </x:c>
      <x:c r="E234" s="46" t="n">
        <x:v>0.081656436951286</x:v>
      </x:c>
      <x:c r="F234" t="n">
        <x:v>9</x:v>
      </x:c>
      <x:c r="G234" s="51" t="b">
        <x:v>0</x:v>
      </x:c>
      <x:c r="H234" s="51" t="b">
        <x:v>0</x:v>
      </x:c>
      <x:c r="I234" s="51" t="b">
        <x:v>0</x:v>
      </x:c>
      <x:c r="J234" s="51" t="b">
        <x:v>0</x:v>
      </x:c>
      <x:c r="K234" s="51" t="b">
        <x:v>0</x:v>
      </x:c>
      <x:c r="L234" s="51" t="b">
        <x:v>0</x:v>
      </x:c>
      <x:c r="M234" s="51" t="b">
        <x:v>0</x:v>
      </x:c>
      <x:c r="N234" s="51" t="b">
        <x:v>1</x:v>
      </x:c>
    </x:row>
    <x:row r="235">
      <x:c r="A235" t="str">
        <x:v>INFY</x:v>
      </x:c>
      <x:c r="B235" s="52" t="n">
        <x:v>43906</x:v>
      </x:c>
      <x:c r="C235" s="53" t="n">
        <x:v>583.15</x:v>
      </x:c>
      <x:c r="D235" s="46" t="n">
        <x:v>0.11926605504587173</x:v>
      </x:c>
      <x:c r="E235" s="46" t="n">
        <x:v>0.07468061390722802</x:v>
      </x:c>
      <x:c r="F235" t="n">
        <x:v>8</x:v>
      </x:c>
      <x:c r="G235" s="51" t="b">
        <x:v>0</x:v>
      </x:c>
      <x:c r="H235" s="51" t="b">
        <x:v>0</x:v>
      </x:c>
      <x:c r="I235" s="51" t="b">
        <x:v>0</x:v>
      </x:c>
      <x:c r="J235" s="51" t="b">
        <x:v>0</x:v>
      </x:c>
      <x:c r="K235" s="51" t="b">
        <x:v>0</x:v>
      </x:c>
      <x:c r="L235" s="51" t="b">
        <x:v>1</x:v>
      </x:c>
      <x:c r="M235" s="51" t="b">
        <x:v>0</x:v>
      </x:c>
      <x:c r="N235" s="51" t="b">
        <x:v>0</x:v>
      </x:c>
    </x:row>
    <x:row r="236">
      <x:c r="A236" t="str">
        <x:v>INFY</x:v>
      </x:c>
      <x:c r="B236" s="52" t="n">
        <x:v>43922</x:v>
      </x:c>
      <x:c r="C236" s="53" t="n">
        <x:v>602.8</x:v>
      </x:c>
      <x:c r="D236" s="46" t="n">
        <x:v>0.08377571333775724</x:v>
      </x:c>
      <x:c r="E236" s="46" t="n">
        <x:v>0.050431320504313426</x:v>
      </x:c>
      <x:c r="F236" t="n">
        <x:v>9</x:v>
      </x:c>
      <x:c r="G236" s="51" t="b">
        <x:v>0</x:v>
      </x:c>
      <x:c r="H236" s="51" t="b">
        <x:v>0</x:v>
      </x:c>
      <x:c r="I236" s="51" t="b">
        <x:v>0</x:v>
      </x:c>
      <x:c r="J236" s="51" t="b">
        <x:v>0</x:v>
      </x:c>
      <x:c r="K236" s="51" t="b">
        <x:v>0</x:v>
      </x:c>
      <x:c r="L236" s="51" t="b">
        <x:v>0</x:v>
      </x:c>
      <x:c r="M236" s="51" t="b">
        <x:v>0</x:v>
      </x:c>
      <x:c r="N236" s="51" t="b">
        <x:v>0</x:v>
      </x:c>
    </x:row>
    <x:row r="237">
      <x:c r="A237" t="str">
        <x:v>INFY</x:v>
      </x:c>
      <x:c r="B237" s="52" t="n">
        <x:v>43937</x:v>
      </x:c>
      <x:c r="C237" s="53" t="n">
        <x:v>623.85</x:v>
      </x:c>
      <x:c r="D237" s="46" t="n">
        <x:v>0.1469103149795623</x:v>
      </x:c>
      <x:c r="E237" s="46" t="n">
        <x:v>0.1469103149795623</x:v>
      </x:c>
      <x:c r="F237" t="n">
        <x:v>5</x:v>
      </x:c>
      <x:c r="G237" s="51" t="b">
        <x:v>0</x:v>
      </x:c>
      <x:c r="H237" s="51" t="b">
        <x:v>0</x:v>
      </x:c>
      <x:c r="I237" s="51" t="b">
        <x:v>0</x:v>
      </x:c>
      <x:c r="J237" s="51" t="b">
        <x:v>0</x:v>
      </x:c>
      <x:c r="K237" s="51" t="b">
        <x:v>0</x:v>
      </x:c>
      <x:c r="L237" s="51" t="b">
        <x:v>0</x:v>
      </x:c>
      <x:c r="M237" s="51" t="b">
        <x:v>1</x:v>
      </x:c>
      <x:c r="N237" s="51" t="b">
        <x:v>0</x:v>
      </x:c>
    </x:row>
    <x:row r="238">
      <x:c r="A238" t="str">
        <x:v>INFY</x:v>
      </x:c>
      <x:c r="B238" s="52" t="n">
        <x:v>43966</x:v>
      </x:c>
      <x:c r="C238" s="53" t="n">
        <x:v>652.3</x:v>
      </x:c>
      <x:c r="D238" s="46" t="n">
        <x:v>0.08447033573509133</x:v>
      </x:c>
      <x:c r="E238" s="46" t="n">
        <x:v>0.07243599570749648</x:v>
      </x:c>
      <x:c r="F238" t="n">
        <x:v>7</x:v>
      </x:c>
      <x:c r="G238" s="51" t="b">
        <x:v>0</x:v>
      </x:c>
      <x:c r="H238" s="51" t="b">
        <x:v>0</x:v>
      </x:c>
      <x:c r="I238" s="51" t="b">
        <x:v>0</x:v>
      </x:c>
      <x:c r="J238" s="51" t="b">
        <x:v>0</x:v>
      </x:c>
      <x:c r="K238" s="51" t="b">
        <x:v>1</x:v>
      </x:c>
      <x:c r="L238" s="51" t="b">
        <x:v>0</x:v>
      </x:c>
      <x:c r="M238" s="51" t="b">
        <x:v>0</x:v>
      </x:c>
      <x:c r="N238" s="51" t="b">
        <x:v>0</x:v>
      </x:c>
    </x:row>
    <x:row r="239">
      <x:c r="A239" t="str">
        <x:v>INFY</x:v>
      </x:c>
      <x:c r="B239" s="52" t="n">
        <x:v>43994</x:v>
      </x:c>
      <x:c r="C239" s="53" t="n">
        <x:v>692.05</x:v>
      </x:c>
      <x:c r="D239" s="46" t="n">
        <x:v>0.08113575608698809</x:v>
      </x:c>
      <x:c r="E239" s="46" t="n">
        <x:v>0.08113575608698809</x:v>
      </x:c>
      <x:c r="F239" t="n">
        <x:v>10</x:v>
      </x:c>
      <x:c r="G239" s="51" t="b">
        <x:v>0</x:v>
      </x:c>
      <x:c r="H239" s="51" t="b">
        <x:v>0</x:v>
      </x:c>
      <x:c r="I239" s="51" t="b">
        <x:v>0</x:v>
      </x:c>
      <x:c r="J239" s="51" t="b">
        <x:v>0</x:v>
      </x:c>
      <x:c r="K239" s="51" t="b">
        <x:v>0</x:v>
      </x:c>
      <x:c r="L239" s="51" t="b">
        <x:v>1</x:v>
      </x:c>
      <x:c r="M239" s="51" t="b">
        <x:v>0</x:v>
      </x:c>
      <x:c r="N239" s="51" t="b">
        <x:v>0</x:v>
      </x:c>
    </x:row>
    <x:row r="240">
      <x:c r="A240" t="str">
        <x:v>INFY</x:v>
      </x:c>
      <x:c r="B240" s="52" t="n">
        <x:v>44076</x:v>
      </x:c>
      <x:c r="C240" s="53" t="n">
        <x:v>924</x:v>
      </x:c>
      <x:c r="D240" s="46" t="n">
        <x:v>0.08414502164502169</x:v>
      </x:c>
      <x:c r="E240" s="46" t="n">
        <x:v>0.08414502164502169</x:v>
      </x:c>
      <x:c r="F240" t="n">
        <x:v>10</x:v>
      </x:c>
      <x:c r="G240" s="51" t="b">
        <x:v>0</x:v>
      </x:c>
      <x:c r="H240" s="51" t="b">
        <x:v>0</x:v>
      </x:c>
      <x:c r="I240" s="51" t="b">
        <x:v>0</x:v>
      </x:c>
      <x:c r="J240" s="51" t="b">
        <x:v>0</x:v>
      </x:c>
      <x:c r="K240" s="51" t="b">
        <x:v>0</x:v>
      </x:c>
      <x:c r="L240" s="51" t="b">
        <x:v>0</x:v>
      </x:c>
      <x:c r="M240" s="51" t="b">
        <x:v>1</x:v>
      </x:c>
      <x:c r="N240" s="51" t="b">
        <x:v>0</x:v>
      </x:c>
    </x:row>
    <x:row r="241">
      <x:c r="A241" t="str">
        <x:v>INFY</x:v>
      </x:c>
      <x:c r="B241" s="52" t="n">
        <x:v>44098</x:v>
      </x:c>
      <x:c r="C241" s="53" t="n">
        <x:v>975.4</x:v>
      </x:c>
      <x:c r="D241" s="46" t="n">
        <x:v>0.13471396350215303</x:v>
      </x:c>
      <x:c r="E241" s="46" t="n">
        <x:v>0.13471396350215303</x:v>
      </x:c>
      <x:c r="F241" t="n">
        <x:v>7</x:v>
      </x:c>
      <x:c r="G241" s="51" t="b">
        <x:v>0</x:v>
      </x:c>
      <x:c r="H241" s="51" t="b">
        <x:v>0</x:v>
      </x:c>
      <x:c r="I241" s="51" t="b">
        <x:v>0</x:v>
      </x:c>
      <x:c r="J241" s="51" t="b">
        <x:v>0</x:v>
      </x:c>
      <x:c r="K241" s="51" t="b">
        <x:v>1</x:v>
      </x:c>
      <x:c r="L241" s="51" t="b">
        <x:v>0</x:v>
      </x:c>
      <x:c r="M241" s="51" t="b">
        <x:v>0</x:v>
      </x:c>
      <x:c r="N241" s="51" t="b">
        <x:v>0</x:v>
      </x:c>
    </x:row>
    <x:row r="242">
      <x:c r="A242" t="str">
        <x:v>INFY</x:v>
      </x:c>
      <x:c r="B242" s="52" t="n">
        <x:v>44180</x:v>
      </x:c>
      <x:c r="C242" s="53" t="n">
        <x:v>1154.6</x:v>
      </x:c>
      <x:c r="D242" s="46" t="n">
        <x:v>0.0852676251515676</x:v>
      </x:c>
      <x:c r="E242" s="46" t="n">
        <x:v>0.0798544950632254</x:v>
      </x:c>
      <x:c r="F242" t="n">
        <x:v>6</x:v>
      </x:c>
      <x:c r="G242" s="51" t="b">
        <x:v>0</x:v>
      </x:c>
      <x:c r="H242" s="51" t="b">
        <x:v>0</x:v>
      </x:c>
      <x:c r="I242" s="51" t="b">
        <x:v>0</x:v>
      </x:c>
      <x:c r="J242" s="51" t="b">
        <x:v>0</x:v>
      </x:c>
      <x:c r="K242" s="51" t="b">
        <x:v>0</x:v>
      </x:c>
      <x:c r="L242" s="51" t="b">
        <x:v>0</x:v>
      </x:c>
      <x:c r="M242" s="51" t="b">
        <x:v>1</x:v>
      </x:c>
      <x:c r="N242" s="51" t="b">
        <x:v>1</x:v>
      </x:c>
    </x:row>
    <x:row r="243">
      <x:c r="A243" t="str">
        <x:v>INFY</x:v>
      </x:c>
      <x:c r="B243" s="52" t="n">
        <x:v>44215</x:v>
      </x:c>
      <x:c r="C243" s="53" t="n">
        <x:v>1316.65</x:v>
      </x:c>
      <x:c r="D243" s="46" t="n">
        <x:v>0.08176052861428618</x:v>
      </x:c>
      <x:c r="E243" s="46" t="n">
        <x:v>0.08176052861428618</x:v>
      </x:c>
      <x:c r="F243" t="n">
        <x:v>10</x:v>
      </x:c>
      <x:c r="G243" s="51" t="b">
        <x:v>0</x:v>
      </x:c>
      <x:c r="H243" s="51" t="b">
        <x:v>0</x:v>
      </x:c>
      <x:c r="I243" s="51" t="b">
        <x:v>1</x:v>
      </x:c>
      <x:c r="J243" s="51" t="b">
        <x:v>0</x:v>
      </x:c>
      <x:c r="K243" s="51" t="b">
        <x:v>1</x:v>
      </x:c>
      <x:c r="L243" s="51" t="b">
        <x:v>0</x:v>
      </x:c>
      <x:c r="M243" s="51" t="b">
        <x:v>1</x:v>
      </x:c>
      <x:c r="N243" s="51" t="b">
        <x:v>0</x:v>
      </x:c>
    </x:row>
    <x:row r="244">
      <x:c r="A244" t="str">
        <x:v>INFY</x:v>
      </x:c>
      <x:c r="B244" s="52" t="n">
        <x:v>44473</x:v>
      </x:c>
      <x:c r="C244" s="53" t="n">
        <x:v>1678.75</x:v>
      </x:c>
      <x:c r="D244" s="46" t="n">
        <x:v>0.0854206999255398</x:v>
      </x:c>
      <x:c r="E244" s="46" t="n">
        <x:v>0.0854206999255398</x:v>
      </x:c>
      <x:c r="F244" t="n">
        <x:v>10</x:v>
      </x:c>
      <x:c r="G244" s="51" t="b">
        <x:v>0</x:v>
      </x:c>
      <x:c r="H244" s="51" t="b">
        <x:v>0</x:v>
      </x:c>
      <x:c r="I244" s="51" t="b">
        <x:v>0</x:v>
      </x:c>
      <x:c r="J244" s="51" t="b">
        <x:v>0</x:v>
      </x:c>
      <x:c r="K244" s="51" t="b">
        <x:v>0</x:v>
      </x:c>
      <x:c r="L244" s="51" t="b">
        <x:v>0</x:v>
      </x:c>
      <x:c r="M244" s="51" t="b">
        <x:v>1</x:v>
      </x:c>
      <x:c r="N244" s="51" t="b">
        <x:v>1</x:v>
      </x:c>
    </x:row>
    <x:row r="245">
      <x:c r="A245" t="str">
        <x:v>INFY</x:v>
      </x:c>
      <x:c r="B245" s="52" t="n">
        <x:v>44545</x:v>
      </x:c>
      <x:c r="C245" s="53" t="n">
        <x:v>1734.2</x:v>
      </x:c>
      <x:c r="D245" s="46" t="n">
        <x:v>0.08868642601776022</x:v>
      </x:c>
      <x:c r="E245" s="46" t="n">
        <x:v>0.0872736708568791</x:v>
      </x:c>
      <x:c r="F245" t="n">
        <x:v>9</x:v>
      </x:c>
      <x:c r="G245" s="51" t="b">
        <x:v>0</x:v>
      </x:c>
      <x:c r="H245" s="51" t="b">
        <x:v>0</x:v>
      </x:c>
      <x:c r="I245" s="51" t="b">
        <x:v>1</x:v>
      </x:c>
      <x:c r="J245" s="51" t="b">
        <x:v>0</x:v>
      </x:c>
      <x:c r="K245" s="51" t="b">
        <x:v>0</x:v>
      </x:c>
      <x:c r="L245" s="51" t="b">
        <x:v>0</x:v>
      </x:c>
      <x:c r="M245" s="51" t="b">
        <x:v>1</x:v>
      </x:c>
      <x:c r="N245" s="51" t="b">
        <x:v>1</x:v>
      </x:c>
    </x:row>
    <x:row r="246">
      <x:c r="A246" t="str">
        <x:v>INFY</x:v>
      </x:c>
      <x:c r="B246" s="52" t="n">
        <x:v>44616</x:v>
      </x:c>
      <x:c r="C246" s="53" t="n">
        <x:v>1678.15</x:v>
      </x:c>
      <x:c r="D246" s="46" t="n">
        <x:v>0.08804338110419208</x:v>
      </x:c>
      <x:c r="E246" s="46" t="n">
        <x:v>0.08571939337961432</x:v>
      </x:c>
      <x:c r="F246" t="n">
        <x:v>8</x:v>
      </x:c>
      <x:c r="G246" s="51" t="b">
        <x:v>0</x:v>
      </x:c>
      <x:c r="H246" s="51" t="b">
        <x:v>0</x:v>
      </x:c>
      <x:c r="I246" s="51" t="b">
        <x:v>0</x:v>
      </x:c>
      <x:c r="J246" s="51" t="b">
        <x:v>0</x:v>
      </x:c>
      <x:c r="K246" s="51" t="b">
        <x:v>0</x:v>
      </x:c>
      <x:c r="L246" s="51" t="b">
        <x:v>0</x:v>
      </x:c>
      <x:c r="M246" s="51" t="b">
        <x:v>0</x:v>
      </x:c>
      <x:c r="N246" s="51" t="b">
        <x:v>0</x:v>
      </x:c>
    </x:row>
    <x:row r="247">
      <x:c r="A247" t="str">
        <x:v>INFY</x:v>
      </x:c>
      <x:c r="B247" s="52" t="n">
        <x:v>44706</x:v>
      </x:c>
      <x:c r="C247" s="53" t="n">
        <x:v>1410.45</x:v>
      </x:c>
      <x:c r="D247" s="46" t="n">
        <x:v>0.08479563259952494</x:v>
      </x:c>
      <x:c r="E247" s="46" t="n">
        <x:v>0.06349037541210256</x:v>
      </x:c>
      <x:c r="F247" t="n">
        <x:v>3</x:v>
      </x:c>
      <x:c r="G247" s="51" t="b">
        <x:v>0</x:v>
      </x:c>
      <x:c r="H247" s="51" t="b">
        <x:v>0</x:v>
      </x:c>
      <x:c r="I247" s="51" t="b">
        <x:v>0</x:v>
      </x:c>
      <x:c r="J247" s="51" t="b">
        <x:v>0</x:v>
      </x:c>
      <x:c r="K247" s="51" t="b">
        <x:v>0</x:v>
      </x:c>
      <x:c r="L247" s="51" t="b">
        <x:v>0</x:v>
      </x:c>
      <x:c r="M247" s="51" t="b">
        <x:v>0</x:v>
      </x:c>
      <x:c r="N247" s="51" t="b">
        <x:v>0</x:v>
      </x:c>
    </x:row>
    <x:row r="248">
      <x:c r="A248" t="str">
        <x:v>INFY</x:v>
      </x:c>
      <x:c r="B248" s="52" t="n">
        <x:v>44757</x:v>
      </x:c>
      <x:c r="C248" s="53" t="n">
        <x:v>1430.35</x:v>
      </x:c>
      <x:c r="D248" s="46" t="n">
        <x:v>0.0834411158108157</x:v>
      </x:c>
      <x:c r="E248" s="46" t="n">
        <x:v>0.0834411158108157</x:v>
      </x:c>
      <x:c r="F248" t="n">
        <x:v>10</x:v>
      </x:c>
      <x:c r="G248" s="51" t="b">
        <x:v>0</x:v>
      </x:c>
      <x:c r="H248" s="51" t="b">
        <x:v>0</x:v>
      </x:c>
      <x:c r="I248" s="51" t="b">
        <x:v>0</x:v>
      </x:c>
      <x:c r="J248" s="51" t="b">
        <x:v>0</x:v>
      </x:c>
      <x:c r="K248" s="51" t="b">
        <x:v>0</x:v>
      </x:c>
      <x:c r="L248" s="51" t="b">
        <x:v>0</x:v>
      </x:c>
      <x:c r="M248" s="51" t="b">
        <x:v>0</x:v>
      </x:c>
      <x:c r="N248" s="51" t="b">
        <x:v>1</x:v>
      </x:c>
    </x:row>
    <x:row r="249">
      <x:c r="A249" t="str">
        <x:v>INFY</x:v>
      </x:c>
      <x:c r="B249" s="52" t="n">
        <x:v>44768</x:v>
      </x:c>
      <x:c r="C249" s="53" t="n">
        <x:v>1451.15</x:v>
      </x:c>
      <x:c r="D249" s="46" t="n">
        <x:v>0.11594252833959273</x:v>
      </x:c>
      <x:c r="E249" s="46" t="n">
        <x:v>0.10426213692588626</x:v>
      </x:c>
      <x:c r="F249" t="n">
        <x:v>7</x:v>
      </x:c>
      <x:c r="G249" s="51" t="b">
        <x:v>0</x:v>
      </x:c>
      <x:c r="H249" s="51" t="b">
        <x:v>0</x:v>
      </x:c>
      <x:c r="I249" s="51" t="b">
        <x:v>0</x:v>
      </x:c>
      <x:c r="J249" s="51" t="b">
        <x:v>0</x:v>
      </x:c>
      <x:c r="K249" s="51" t="b">
        <x:v>0</x:v>
      </x:c>
      <x:c r="L249" s="51" t="b">
        <x:v>0</x:v>
      </x:c>
      <x:c r="M249" s="51" t="b">
        <x:v>0</x:v>
      </x:c>
      <x:c r="N249" s="51" t="b">
        <x:v>1</x:v>
      </x:c>
    </x:row>
    <x:row r="250">
      <x:c r="A250" t="str">
        <x:v>INFY</x:v>
      </x:c>
      <x:c r="B250" s="52" t="n">
        <x:v>44875</x:v>
      </x:c>
      <x:c r="C250" s="53" t="n">
        <x:v>1501.95</x:v>
      </x:c>
      <x:c r="D250" s="46" t="n">
        <x:v>0.08512267385731875</x:v>
      </x:c>
      <x:c r="E250" s="46" t="n">
        <x:v>0.08512267385731875</x:v>
      </x:c>
      <x:c r="F250" t="n">
        <x:v>10</x:v>
      </x:c>
      <x:c r="G250" s="51" t="b">
        <x:v>0</x:v>
      </x:c>
      <x:c r="H250" s="51" t="b">
        <x:v>0</x:v>
      </x:c>
      <x:c r="I250" s="51" t="b">
        <x:v>0</x:v>
      </x:c>
      <x:c r="J250" s="51" t="b">
        <x:v>0</x:v>
      </x:c>
      <x:c r="K250" s="51" t="b">
        <x:v>0</x:v>
      </x:c>
      <x:c r="L250" s="51" t="b">
        <x:v>0</x:v>
      </x:c>
      <x:c r="M250" s="51" t="b">
        <x:v>1</x:v>
      </x:c>
      <x:c r="N250" s="51" t="b">
        <x:v>1</x:v>
      </x:c>
    </x:row>
    <x:row r="251">
      <x:c r="A251" t="str">
        <x:v>INFY</x:v>
      </x:c>
      <x:c r="B251" s="52" t="n">
        <x:v>45111</x:v>
      </x:c>
      <x:c r="C251" s="53" t="n">
        <x:v>1345.15</x:v>
      </x:c>
      <x:c r="D251" s="46" t="n">
        <x:v>0.09668066758354077</x:v>
      </x:c>
      <x:c r="E251" s="46" t="n">
        <x:v>0.09668066758354077</x:v>
      </x:c>
      <x:c r="F251" t="n">
        <x:v>10</x:v>
      </x:c>
      <x:c r="G251" s="51" t="b">
        <x:v>0</x:v>
      </x:c>
      <x:c r="H251" s="51" t="b">
        <x:v>0</x:v>
      </x:c>
      <x:c r="I251" s="51" t="b">
        <x:v>0</x:v>
      </x:c>
      <x:c r="J251" s="51" t="b">
        <x:v>0</x:v>
      </x:c>
      <x:c r="K251" s="51" t="b">
        <x:v>0</x:v>
      </x:c>
      <x:c r="L251" s="51" t="b">
        <x:v>0</x:v>
      </x:c>
      <x:c r="M251" s="51" t="b">
        <x:v>0</x:v>
      </x:c>
      <x:c r="N251" s="51" t="b">
        <x:v>1</x:v>
      </x:c>
    </x:row>
    <x:row r="252">
      <x:c r="A252" t="str">
        <x:v>INFY</x:v>
      </x:c>
      <x:c r="B252" s="52" t="n">
        <x:v>45261</x:v>
      </x:c>
      <x:c r="C252" s="53" t="n">
        <x:v>1452.3</x:v>
      </x:c>
      <x:c r="D252" s="46" t="n">
        <x:v>0.08682779040143229</x:v>
      </x:c>
      <x:c r="E252" s="46" t="n">
        <x:v>0.08682779040143229</x:v>
      </x:c>
      <x:c r="F252" t="n">
        <x:v>10</x:v>
      </x:c>
      <x:c r="G252" s="51" t="b">
        <x:v>0</x:v>
      </x:c>
      <x:c r="H252" s="51" t="b">
        <x:v>0</x:v>
      </x:c>
      <x:c r="I252" s="51" t="b">
        <x:v>0</x:v>
      </x:c>
      <x:c r="J252" s="51" t="b">
        <x:v>0</x:v>
      </x:c>
      <x:c r="K252" s="51" t="b">
        <x:v>0</x:v>
      </x:c>
      <x:c r="L252" s="51" t="b">
        <x:v>0</x:v>
      </x:c>
      <x:c r="M252" s="51" t="b">
        <x:v>0</x:v>
      </x:c>
      <x:c r="N252" s="51" t="b">
        <x:v>1</x:v>
      </x:c>
    </x:row>
    <x:row r="253">
      <x:c r="A253" t="str">
        <x:v>INFY</x:v>
      </x:c>
      <x:c r="B253" s="52" t="n">
        <x:v>45273</x:v>
      </x:c>
      <x:c r="C253" s="53" t="n">
        <x:v>1449</x:v>
      </x:c>
      <x:c r="D253" s="46" t="n">
        <x:v>0.08930296756383727</x:v>
      </x:c>
      <x:c r="E253" s="46" t="n">
        <x:v>0.07843340234644591</x:v>
      </x:c>
      <x:c r="F253" t="n">
        <x:v>2</x:v>
      </x:c>
      <x:c r="G253" s="51" t="b">
        <x:v>0</x:v>
      </x:c>
      <x:c r="H253" s="51" t="b">
        <x:v>0</x:v>
      </x:c>
      <x:c r="I253" s="51" t="b">
        <x:v>0</x:v>
      </x:c>
      <x:c r="J253" s="51" t="b">
        <x:v>0</x:v>
      </x:c>
      <x:c r="K253" s="51" t="b">
        <x:v>1</x:v>
      </x:c>
      <x:c r="L253" s="51" t="b">
        <x:v>0</x:v>
      </x:c>
      <x:c r="M253" s="51" t="b">
        <x:v>0</x:v>
      </x:c>
      <x:c r="N253" s="51" t="b">
        <x:v>1</x:v>
      </x:c>
    </x:row>
    <x:row r="254">
      <x:c r="A254" t="str">
        <x:v>INFY</x:v>
      </x:c>
      <x:c r="B254" s="52" t="n">
        <x:v>45294</x:v>
      </x:c>
      <x:c r="C254" s="53" t="n">
        <x:v>1490</x:v>
      </x:c>
      <x:c r="D254" s="46" t="n">
        <x:v>0.1087919463087248</x:v>
      </x:c>
      <x:c r="E254" s="46" t="n">
        <x:v>0.10080536912751681</x:v>
      </x:c>
      <x:c r="F254" t="n">
        <x:v>7</x:v>
      </x:c>
      <x:c r="G254" s="51" t="b">
        <x:v>0</x:v>
      </x:c>
      <x:c r="H254" s="51" t="b">
        <x:v>0</x:v>
      </x:c>
      <x:c r="I254" s="51" t="b">
        <x:v>0</x:v>
      </x:c>
      <x:c r="J254" s="51" t="b">
        <x:v>0</x:v>
      </x:c>
      <x:c r="K254" s="51" t="b">
        <x:v>0</x:v>
      </x:c>
      <x:c r="L254" s="51" t="b">
        <x:v>1</x:v>
      </x:c>
      <x:c r="M254" s="51" t="b">
        <x:v>0</x:v>
      </x:c>
      <x:c r="N254" s="51" t="b">
        <x:v>1</x:v>
      </x:c>
    </x:row>
    <x:row r="255">
      <x:c r="A255" t="str">
        <x:v>INFY</x:v>
      </x:c>
      <x:c r="B255" s="52" t="n">
        <x:v>45443</x:v>
      </x:c>
      <x:c r="C255" s="53" t="n">
        <x:v>1406.9</x:v>
      </x:c>
      <x:c r="D255" s="46" t="n">
        <x:v>0.09005615182315707</x:v>
      </x:c>
      <x:c r="E255" s="46" t="n">
        <x:v>0.058284170872130225</x:v>
      </x:c>
      <x:c r="F255" t="n">
        <x:v>5</x:v>
      </x:c>
      <x:c r="G255" s="51" t="b">
        <x:v>0</x:v>
      </x:c>
      <x:c r="H255" s="51" t="b">
        <x:v>0</x:v>
      </x:c>
      <x:c r="I255" s="51" t="b">
        <x:v>1</x:v>
      </x:c>
      <x:c r="J255" s="51" t="b">
        <x:v>0</x:v>
      </x:c>
      <x:c r="K255" s="51" t="b">
        <x:v>0</x:v>
      </x:c>
      <x:c r="L255" s="51" t="b">
        <x:v>0</x:v>
      </x:c>
      <x:c r="M255" s="51" t="b">
        <x:v>0</x:v>
      </x:c>
      <x:c r="N255" s="51" t="b">
        <x:v>0</x:v>
      </x:c>
    </x:row>
    <x:row r="256">
      <x:c r="A256" t="str">
        <x:v>INFY</x:v>
      </x:c>
      <x:c r="B256" s="52" t="n">
        <x:v>45461</x:v>
      </x:c>
      <x:c r="C256" s="53" t="n">
        <x:v>1498.2</x:v>
      </x:c>
      <x:c r="D256" s="46" t="n">
        <x:v>0.08199839807769327</x:v>
      </x:c>
      <x:c r="E256" s="46" t="n">
        <x:v>0.08199839807769327</x:v>
      </x:c>
      <x:c r="F256" t="n">
        <x:v>10</x:v>
      </x:c>
      <x:c r="G256" s="51" t="b">
        <x:v>0</x:v>
      </x:c>
      <x:c r="H256" s="51" t="b">
        <x:v>0</x:v>
      </x:c>
      <x:c r="I256" s="51" t="b">
        <x:v>0</x:v>
      </x:c>
      <x:c r="J256" s="51" t="b">
        <x:v>0</x:v>
      </x:c>
      <x:c r="K256" s="51" t="b">
        <x:v>1</x:v>
      </x:c>
      <x:c r="L256" s="51" t="b">
        <x:v>0</x:v>
      </x:c>
      <x:c r="M256" s="51" t="b">
        <x:v>0</x:v>
      </x:c>
      <x:c r="N256" s="51" t="b">
        <x:v>1</x:v>
      </x:c>
    </x:row>
    <x:row r="257">
      <x:c r="A257" t="str">
        <x:v>INFY</x:v>
      </x:c>
      <x:c r="B257" s="52" t="n">
        <x:v>45772</x:v>
      </x:c>
      <x:c r="C257" s="53" t="n">
        <x:v>1480.2</x:v>
      </x:c>
      <x:c r="D257" s="46" t="n">
        <x:v>0.09910822861775448</x:v>
      </x:c>
      <x:c r="E257" s="46" t="n">
        <x:v>0.09910822861775448</x:v>
      </x:c>
      <x:c r="F257" t="n">
        <x:v>10</x:v>
      </x:c>
      <x:c r="G257" s="51" t="b">
        <x:v>0</x:v>
      </x:c>
      <x:c r="H257" s="51" t="b">
        <x:v>0</x:v>
      </x:c>
      <x:c r="I257" s="51" t="b">
        <x:v>0</x:v>
      </x:c>
      <x:c r="J257" s="51" t="b">
        <x:v>0</x:v>
      </x:c>
      <x:c r="K257" s="51" t="b">
        <x:v>0</x:v>
      </x:c>
      <x:c r="L257" s="51" t="b">
        <x:v>0</x:v>
      </x:c>
      <x:c r="M257" s="51" t="b">
        <x:v>0</x:v>
      </x:c>
      <x:c r="N257" s="51" t="b">
        <x:v>0</x:v>
      </x:c>
    </x:row>
    <x:row r="258">
      <x:c r="A258" t="str">
        <x:v>INFY</x:v>
      </x:c>
      <x:c r="B258" s="52" t="n">
        <x:v>46100</x:v>
      </x:c>
      <x:c r="C258" s="53" t="n">
        <x:v>1220.8</x:v>
      </x:c>
      <x:c r="D258" s="46" t="n">
        <x:v>0.09714941022280477</x:v>
      </x:c>
      <x:c r="E258" s="46" t="n">
        <x:v>0.09714941022280477</x:v>
      </x:c>
      <x:c r="F258" t="n">
        <x:v>10</x:v>
      </x:c>
      <x:c r="G258" s="51" t="b">
        <x:v>0</x:v>
      </x:c>
      <x:c r="H258" s="51" t="b">
        <x:v>0</x:v>
      </x:c>
      <x:c r="I258" s="51" t="b">
        <x:v>0</x:v>
      </x:c>
      <x:c r="J258" s="51" t="b">
        <x:v>0</x:v>
      </x:c>
      <x:c r="K258" s="51" t="b">
        <x:v>0</x:v>
      </x:c>
      <x:c r="L258" s="51" t="b">
        <x:v>0</x:v>
      </x:c>
      <x:c r="M258" s="51" t="b">
        <x:v>0</x:v>
      </x:c>
      <x:c r="N258" s="51" t="b">
        <x:v>0</x:v>
      </x:c>
    </x:row>
    <x:row r="259">
      <x:c r="A259" t="str">
        <x:v>INFY</x:v>
      </x:c>
      <x:c r="B259" s="52" t="n">
        <x:v>46156</x:v>
      </x:c>
      <x:c r="C259" s="53" t="n">
        <x:v>1095</x:v>
      </x:c>
      <x:c r="D259" s="46" t="n">
        <x:v>0.09305936073059362</x:v>
      </x:c>
      <x:c r="E259" s="46" t="n">
        <x:v>0.06018264840182663</x:v>
      </x:c>
      <x:c r="F259" t="n">
        <x:v>3</x:v>
      </x:c>
      <x:c r="G259" s="51" t="b">
        <x:v>0</x:v>
      </x:c>
      <x:c r="H259" s="51" t="b">
        <x:v>0</x:v>
      </x:c>
      <x:c r="I259" s="51" t="b">
        <x:v>0</x:v>
      </x:c>
      <x:c r="J259" s="51" t="b">
        <x:v>0</x:v>
      </x:c>
      <x:c r="K259" s="51" t="b">
        <x:v>0</x:v>
      </x:c>
      <x:c r="L259" s="51" t="b">
        <x:v>0</x:v>
      </x:c>
      <x:c r="M259" s="51" t="b">
        <x:v>0</x:v>
      </x:c>
      <x:c r="N259" s="51" t="b">
        <x:v>0</x:v>
      </x:c>
    </x:row>
    <x:row r="260">
      <x:c r="A260" t="str">
        <x:v>M&amp;M</x:v>
      </x:c>
      <x:c r="B260" s="52" t="n">
        <x:v>42411</x:v>
      </x:c>
      <x:c r="C260" s="53" t="n">
        <x:v>1126.6</x:v>
      </x:c>
      <x:c r="D260" s="46" t="n">
        <x:v>0.09803834546422863</x:v>
      </x:c>
      <x:c r="E260" s="46" t="n">
        <x:v>0.09093733357003386</x:v>
      </x:c>
      <x:c r="F260" t="n">
        <x:v>2</x:v>
      </x:c>
      <x:c r="G260" s="51" t="b">
        <x:v>0</x:v>
      </x:c>
      <x:c r="H260" s="51" t="b">
        <x:v>0</x:v>
      </x:c>
      <x:c r="I260" s="51" t="b">
        <x:v>0</x:v>
      </x:c>
      <x:c r="J260" s="51" t="b">
        <x:v>0</x:v>
      </x:c>
      <x:c r="K260" s="51" t="b">
        <x:v>0</x:v>
      </x:c>
      <x:c r="L260" s="51" t="b">
        <x:v>0</x:v>
      </x:c>
      <x:c r="M260" s="51" t="b">
        <x:v>0</x:v>
      </x:c>
      <x:c r="N260" s="51" t="b">
        <x:v>0</x:v>
      </x:c>
    </x:row>
    <x:row r="261">
      <x:c r="A261" t="str">
        <x:v>M&amp;M</x:v>
      </x:c>
      <x:c r="B261" s="52" t="n">
        <x:v>42459</x:v>
      </x:c>
      <x:c r="C261" s="53" t="n">
        <x:v>1219.75</x:v>
      </x:c>
      <x:c r="D261" s="46" t="n">
        <x:v>0.09239598278335737</x:v>
      </x:c>
      <x:c r="E261" s="46" t="n">
        <x:v>0.09239598278335737</x:v>
      </x:c>
      <x:c r="F261" t="n">
        <x:v>10</x:v>
      </x:c>
      <x:c r="G261" s="51" t="b">
        <x:v>0</x:v>
      </x:c>
      <x:c r="H261" s="51" t="b">
        <x:v>0</x:v>
      </x:c>
      <x:c r="I261" s="51" t="b">
        <x:v>0</x:v>
      </x:c>
      <x:c r="J261" s="51" t="b">
        <x:v>0</x:v>
      </x:c>
      <x:c r="K261" s="51" t="b">
        <x:v>0</x:v>
      </x:c>
      <x:c r="L261" s="51" t="b">
        <x:v>0</x:v>
      </x:c>
      <x:c r="M261" s="51" t="b">
        <x:v>1</x:v>
      </x:c>
      <x:c r="N261" s="51" t="b">
        <x:v>0</x:v>
      </x:c>
    </x:row>
    <x:row r="262">
      <x:c r="A262" t="str">
        <x:v>M&amp;M</x:v>
      </x:c>
      <x:c r="B262" s="52" t="n">
        <x:v>42538</x:v>
      </x:c>
      <x:c r="C262" s="53" t="n">
        <x:v>1344</x:v>
      </x:c>
      <x:c r="D262" s="46" t="n">
        <x:v>0.08861607142857131</x:v>
      </x:c>
      <x:c r="E262" s="46" t="n">
        <x:v>0.08861607142857131</x:v>
      </x:c>
      <x:c r="F262" t="n">
        <x:v>10</x:v>
      </x:c>
      <x:c r="G262" s="51" t="b">
        <x:v>0</x:v>
      </x:c>
      <x:c r="H262" s="51" t="b">
        <x:v>0</x:v>
      </x:c>
      <x:c r="I262" s="51" t="b">
        <x:v>0</x:v>
      </x:c>
      <x:c r="J262" s="51" t="b">
        <x:v>0</x:v>
      </x:c>
      <x:c r="K262" s="51" t="b">
        <x:v>0</x:v>
      </x:c>
      <x:c r="L262" s="51" t="b">
        <x:v>1</x:v>
      </x:c>
      <x:c r="M262" s="51" t="b">
        <x:v>1</x:v>
      </x:c>
      <x:c r="N262" s="51" t="b">
        <x:v>0</x:v>
      </x:c>
    </x:row>
    <x:row r="263">
      <x:c r="A263" t="str">
        <x:v>M&amp;M</x:v>
      </x:c>
      <x:c r="B263" s="52" t="n">
        <x:v>42752</x:v>
      </x:c>
      <x:c r="C263" s="53" t="n">
        <x:v>1204.45</x:v>
      </x:c>
      <x:c r="D263" s="46" t="n">
        <x:v>0.08132342562995554</x:v>
      </x:c>
      <x:c r="E263" s="46" t="n">
        <x:v>0.08132342562995554</x:v>
      </x:c>
      <x:c r="F263" t="n">
        <x:v>10</x:v>
      </x:c>
      <x:c r="G263" s="51" t="b">
        <x:v>0</x:v>
      </x:c>
      <x:c r="H263" s="51" t="b">
        <x:v>0</x:v>
      </x:c>
      <x:c r="I263" s="51" t="b">
        <x:v>0</x:v>
      </x:c>
      <x:c r="J263" s="51" t="b">
        <x:v>0</x:v>
      </x:c>
      <x:c r="K263" s="51" t="b">
        <x:v>0</x:v>
      </x:c>
      <x:c r="L263" s="51" t="b">
        <x:v>1</x:v>
      </x:c>
      <x:c r="M263" s="51" t="b">
        <x:v>1</x:v>
      </x:c>
      <x:c r="N263" s="51" t="b">
        <x:v>0</x:v>
      </x:c>
    </x:row>
    <x:row r="264">
      <x:c r="A264" t="str">
        <x:v>M&amp;M</x:v>
      </x:c>
      <x:c r="B264" s="52" t="n">
        <x:v>42877</x:v>
      </x:c>
      <x:c r="C264" s="53" t="n">
        <x:v>1306.25</x:v>
      </x:c>
      <x:c r="D264" s="46" t="n">
        <x:v>0.09110047846889957</x:v>
      </x:c>
      <x:c r="E264" s="46" t="n">
        <x:v>0.08991387559808617</x:v>
      </x:c>
      <x:c r="F264" t="n">
        <x:v>7</x:v>
      </x:c>
      <x:c r="G264" s="51" t="b">
        <x:v>0</x:v>
      </x:c>
      <x:c r="H264" s="51" t="b">
        <x:v>0</x:v>
      </x:c>
      <x:c r="I264" s="51" t="b">
        <x:v>0</x:v>
      </x:c>
      <x:c r="J264" s="51" t="b">
        <x:v>0</x:v>
      </x:c>
      <x:c r="K264" s="51" t="b">
        <x:v>0</x:v>
      </x:c>
      <x:c r="L264" s="51" t="b">
        <x:v>0</x:v>
      </x:c>
      <x:c r="M264" s="51" t="b">
        <x:v>1</x:v>
      </x:c>
      <x:c r="N264" s="51" t="b">
        <x:v>0</x:v>
      </x:c>
    </x:row>
    <x:row r="265">
      <x:c r="A265" t="str">
        <x:v>M&amp;M</x:v>
      </x:c>
      <x:c r="B265" s="52" t="n">
        <x:v>43005</x:v>
      </x:c>
      <x:c r="C265" s="53" t="n">
        <x:v>1232</x:v>
      </x:c>
      <x:c r="D265" s="46" t="n">
        <x:v>0.08616071428571437</x:v>
      </x:c>
      <x:c r="E265" s="46" t="n">
        <x:v>0.08616071428571437</x:v>
      </x:c>
      <x:c r="F265" t="n">
        <x:v>10</x:v>
      </x:c>
      <x:c r="G265" s="51" t="b">
        <x:v>0</x:v>
      </x:c>
      <x:c r="H265" s="51" t="b">
        <x:v>0</x:v>
      </x:c>
      <x:c r="I265" s="51" t="b">
        <x:v>0</x:v>
      </x:c>
      <x:c r="J265" s="51" t="b">
        <x:v>0</x:v>
      </x:c>
      <x:c r="K265" s="51" t="b">
        <x:v>0</x:v>
      </x:c>
      <x:c r="L265" s="51" t="b">
        <x:v>0</x:v>
      </x:c>
      <x:c r="M265" s="51" t="b">
        <x:v>0</x:v>
      </x:c>
      <x:c r="N265" s="51" t="b">
        <x:v>0</x:v>
      </x:c>
    </x:row>
    <x:row r="266">
      <x:c r="A266" t="str">
        <x:v>M&amp;M</x:v>
      </x:c>
      <x:c r="B266" s="52" t="n">
        <x:v>43073</x:v>
      </x:c>
      <x:c r="C266" s="53" t="n">
        <x:v>1401</x:v>
      </x:c>
      <x:c r="D266" s="46" t="n">
        <x:v>0.08597430406852258</x:v>
      </x:c>
      <x:c r="E266" s="46" t="n">
        <x:v>0.08597430406852258</x:v>
      </x:c>
      <x:c r="F266" t="n">
        <x:v>10</x:v>
      </x:c>
      <x:c r="G266" s="51" t="b">
        <x:v>0</x:v>
      </x:c>
      <x:c r="H266" s="51" t="b">
        <x:v>0</x:v>
      </x:c>
      <x:c r="I266" s="51" t="b">
        <x:v>0</x:v>
      </x:c>
      <x:c r="J266" s="51" t="b">
        <x:v>0</x:v>
      </x:c>
      <x:c r="K266" s="51" t="b">
        <x:v>0</x:v>
      </x:c>
      <x:c r="L266" s="51" t="b">
        <x:v>1</x:v>
      </x:c>
      <x:c r="M266" s="51" t="b">
        <x:v>1</x:v>
      </x:c>
      <x:c r="N266" s="51" t="b">
        <x:v>0</x:v>
      </x:c>
    </x:row>
    <x:row r="267">
      <x:c r="A267" t="str">
        <x:v>M&amp;M</x:v>
      </x:c>
      <x:c r="B267" s="52" t="n">
        <x:v>43201</x:v>
      </x:c>
      <x:c r="C267" s="53" t="n">
        <x:v>789</x:v>
      </x:c>
      <x:c r="D267" s="46" t="n">
        <x:v>0.08219264892268696</x:v>
      </x:c>
      <x:c r="E267" s="46" t="n">
        <x:v>0.08219264892268696</x:v>
      </x:c>
      <x:c r="F267" t="n">
        <x:v>10</x:v>
      </x:c>
      <x:c r="G267" s="51" t="b">
        <x:v>0</x:v>
      </x:c>
      <x:c r="H267" s="51" t="b">
        <x:v>0</x:v>
      </x:c>
      <x:c r="I267" s="51" t="b">
        <x:v>0</x:v>
      </x:c>
      <x:c r="J267" s="51" t="b">
        <x:v>0</x:v>
      </x:c>
      <x:c r="K267" s="51" t="b">
        <x:v>1</x:v>
      </x:c>
      <x:c r="L267" s="51" t="b">
        <x:v>0</x:v>
      </x:c>
      <x:c r="M267" s="51" t="b">
        <x:v>0</x:v>
      </x:c>
      <x:c r="N267" s="51" t="b">
        <x:v>1</x:v>
      </x:c>
    </x:row>
    <x:row r="268">
      <x:c r="A268" t="str">
        <x:v>M&amp;M</x:v>
      </x:c>
      <x:c r="B268" s="52" t="n">
        <x:v>43237</x:v>
      </x:c>
      <x:c r="C268" s="53" t="n">
        <x:v>849</x:v>
      </x:c>
      <x:c r="D268" s="46" t="n">
        <x:v>0.0871024734982333</x:v>
      </x:c>
      <x:c r="E268" s="46" t="n">
        <x:v>0.0871024734982333</x:v>
      </x:c>
      <x:c r="F268" t="n">
        <x:v>10</x:v>
      </x:c>
      <x:c r="G268" s="51" t="b">
        <x:v>0</x:v>
      </x:c>
      <x:c r="H268" s="51" t="b">
        <x:v>0</x:v>
      </x:c>
      <x:c r="I268" s="51" t="b">
        <x:v>0</x:v>
      </x:c>
      <x:c r="J268" s="51" t="b">
        <x:v>0</x:v>
      </x:c>
      <x:c r="K268" s="51" t="b">
        <x:v>1</x:v>
      </x:c>
      <x:c r="L268" s="51" t="b">
        <x:v>1</x:v>
      </x:c>
      <x:c r="M268" s="51" t="b">
        <x:v>1</x:v>
      </x:c>
      <x:c r="N268" s="51" t="b">
        <x:v>1</x:v>
      </x:c>
    </x:row>
    <x:row r="269">
      <x:c r="A269" t="str">
        <x:v>M&amp;M</x:v>
      </x:c>
      <x:c r="B269" s="52" t="n">
        <x:v>43398</x:v>
      </x:c>
      <x:c r="C269" s="53" t="n">
        <x:v>733.75</x:v>
      </x:c>
      <x:c r="D269" s="46" t="n">
        <x:v>0.08381601362862012</x:v>
      </x:c>
      <x:c r="E269" s="46" t="n">
        <x:v>0.08381601362862012</x:v>
      </x:c>
      <x:c r="F269" t="n">
        <x:v>9</x:v>
      </x:c>
      <x:c r="G269" s="51" t="b">
        <x:v>0</x:v>
      </x:c>
      <x:c r="H269" s="51" t="b">
        <x:v>0</x:v>
      </x:c>
      <x:c r="I269" s="51" t="b">
        <x:v>0</x:v>
      </x:c>
      <x:c r="J269" s="51" t="b">
        <x:v>0</x:v>
      </x:c>
      <x:c r="K269" s="51" t="b">
        <x:v>0</x:v>
      </x:c>
      <x:c r="L269" s="51" t="b">
        <x:v>0</x:v>
      </x:c>
      <x:c r="M269" s="51" t="b">
        <x:v>0</x:v>
      </x:c>
      <x:c r="N269" s="51" t="b">
        <x:v>1</x:v>
      </x:c>
    </x:row>
    <x:row r="270">
      <x:c r="A270" t="str">
        <x:v>M&amp;M</x:v>
      </x:c>
      <x:c r="B270" s="52" t="n">
        <x:v>43439</x:v>
      </x:c>
      <x:c r="C270" s="53" t="n">
        <x:v>718.05</x:v>
      </x:c>
      <x:c r="D270" s="46" t="n">
        <x:v>0.08996587981338355</x:v>
      </x:c>
      <x:c r="E270" s="46" t="n">
        <x:v>0.08996587981338355</x:v>
      </x:c>
      <x:c r="F270" t="n">
        <x:v>10</x:v>
      </x:c>
      <x:c r="G270" s="51" t="b">
        <x:v>0</x:v>
      </x:c>
      <x:c r="H270" s="51" t="b">
        <x:v>0</x:v>
      </x:c>
      <x:c r="I270" s="51" t="b">
        <x:v>0</x:v>
      </x:c>
      <x:c r="J270" s="51" t="b">
        <x:v>0</x:v>
      </x:c>
      <x:c r="K270" s="51" t="b">
        <x:v>0</x:v>
      </x:c>
      <x:c r="L270" s="51" t="b">
        <x:v>1</x:v>
      </x:c>
      <x:c r="M270" s="51" t="b">
        <x:v>0</x:v>
      </x:c>
      <x:c r="N270" s="51" t="b">
        <x:v>1</x:v>
      </x:c>
    </x:row>
    <x:row r="271">
      <x:c r="A271" t="str">
        <x:v>M&amp;M</x:v>
      </x:c>
      <x:c r="B271" s="52" t="n">
        <x:v>43598</x:v>
      </x:c>
      <x:c r="C271" s="53" t="n">
        <x:v>617.6</x:v>
      </x:c>
      <x:c r="D271" s="46" t="n">
        <x:v>0.09998380829015541</x:v>
      </x:c>
      <x:c r="E271" s="46" t="n">
        <x:v>0.09998380829015541</x:v>
      </x:c>
      <x:c r="F271" t="n">
        <x:v>10</x:v>
      </x:c>
      <x:c r="G271" s="51" t="b">
        <x:v>0</x:v>
      </x:c>
      <x:c r="H271" s="51" t="b">
        <x:v>0</x:v>
      </x:c>
      <x:c r="I271" s="51" t="b">
        <x:v>0</x:v>
      </x:c>
      <x:c r="J271" s="51" t="b">
        <x:v>0</x:v>
      </x:c>
      <x:c r="K271" s="51" t="b">
        <x:v>0</x:v>
      </x:c>
      <x:c r="L271" s="51" t="b">
        <x:v>0</x:v>
      </x:c>
      <x:c r="M271" s="51" t="b">
        <x:v>1</x:v>
      </x:c>
      <x:c r="N271" s="51" t="b">
        <x:v>0</x:v>
      </x:c>
    </x:row>
    <x:row r="272">
      <x:c r="A272" t="str">
        <x:v>M&amp;M</x:v>
      </x:c>
      <x:c r="B272" s="52" t="n">
        <x:v>43635</x:v>
      </x:c>
      <x:c r="C272" s="53" t="n">
        <x:v>615.15</x:v>
      </x:c>
      <x:c r="D272" s="46" t="n">
        <x:v>0.08794602942371776</x:v>
      </x:c>
      <x:c r="E272" s="46" t="n">
        <x:v>0.08794602942371776</x:v>
      </x:c>
      <x:c r="F272" t="n">
        <x:v>9</x:v>
      </x:c>
      <x:c r="G272" s="51" t="b">
        <x:v>0</x:v>
      </x:c>
      <x:c r="H272" s="51" t="b">
        <x:v>0</x:v>
      </x:c>
      <x:c r="I272" s="51" t="b">
        <x:v>0</x:v>
      </x:c>
      <x:c r="J272" s="51" t="b">
        <x:v>0</x:v>
      </x:c>
      <x:c r="K272" s="51" t="b">
        <x:v>0</x:v>
      </x:c>
      <x:c r="L272" s="51" t="b">
        <x:v>0</x:v>
      </x:c>
      <x:c r="M272" s="51" t="b">
        <x:v>1</x:v>
      </x:c>
      <x:c r="N272" s="51" t="b">
        <x:v>1</x:v>
      </x:c>
    </x:row>
    <x:row r="273">
      <x:c r="A273" t="str">
        <x:v>M&amp;M</x:v>
      </x:c>
      <x:c r="B273" s="52" t="n">
        <x:v>43690</x:v>
      </x:c>
      <x:c r="C273" s="53" t="n">
        <x:v>512.4</x:v>
      </x:c>
      <x:c r="D273" s="46" t="n">
        <x:v>0.08128415300546443</x:v>
      </x:c>
      <x:c r="E273" s="46" t="n">
        <x:v>0.05327868852459039</x:v>
      </x:c>
      <x:c r="F273" t="n">
        <x:v>9</x:v>
      </x:c>
      <x:c r="G273" s="51" t="b">
        <x:v>0</x:v>
      </x:c>
      <x:c r="H273" s="51" t="b">
        <x:v>0</x:v>
      </x:c>
      <x:c r="I273" s="51" t="b">
        <x:v>1</x:v>
      </x:c>
      <x:c r="J273" s="51" t="b">
        <x:v>0</x:v>
      </x:c>
      <x:c r="K273" s="51" t="b">
        <x:v>0</x:v>
      </x:c>
      <x:c r="L273" s="51" t="b">
        <x:v>0</x:v>
      </x:c>
      <x:c r="M273" s="51" t="b">
        <x:v>0</x:v>
      </x:c>
      <x:c r="N273" s="51" t="b">
        <x:v>1</x:v>
      </x:c>
    </x:row>
    <x:row r="274">
      <x:c r="A274" t="str">
        <x:v>M&amp;M</x:v>
      </x:c>
      <x:c r="B274" s="52" t="n">
        <x:v>43699</x:v>
      </x:c>
      <x:c r="C274" s="53" t="n">
        <x:v>511.8</x:v>
      </x:c>
      <x:c r="D274" s="46" t="n">
        <x:v>0.08255177803829605</x:v>
      </x:c>
      <x:c r="E274" s="46" t="n">
        <x:v>0.034583821805392656</x:v>
      </x:c>
      <x:c r="F274" t="n">
        <x:v>3</x:v>
      </x:c>
      <x:c r="G274" s="51" t="b">
        <x:v>0</x:v>
      </x:c>
      <x:c r="H274" s="51" t="b">
        <x:v>0</x:v>
      </x:c>
      <x:c r="I274" s="51" t="b">
        <x:v>0</x:v>
      </x:c>
      <x:c r="J274" s="51" t="b">
        <x:v>0</x:v>
      </x:c>
      <x:c r="K274" s="51" t="b">
        <x:v>0</x:v>
      </x:c>
      <x:c r="L274" s="51" t="b">
        <x:v>0</x:v>
      </x:c>
      <x:c r="M274" s="51" t="b">
        <x:v>0</x:v>
      </x:c>
      <x:c r="N274" s="51" t="b">
        <x:v>1</x:v>
      </x:c>
    </x:row>
    <x:row r="275">
      <x:c r="A275" t="str">
        <x:v>M&amp;M</x:v>
      </x:c>
      <x:c r="B275" s="52" t="n">
        <x:v>43712</x:v>
      </x:c>
      <x:c r="C275" s="53" t="n">
        <x:v>505.7</x:v>
      </x:c>
      <x:c r="D275" s="46" t="n">
        <x:v>0.09007316590864156</x:v>
      </x:c>
      <x:c r="E275" s="46" t="n">
        <x:v>0.026893415068222293</x:v>
      </x:c>
      <x:c r="F275" t="n">
        <x:v>6</x:v>
      </x:c>
      <x:c r="G275" s="51" t="b">
        <x:v>0</x:v>
      </x:c>
      <x:c r="H275" s="51" t="b">
        <x:v>0</x:v>
      </x:c>
      <x:c r="I275" s="51" t="b">
        <x:v>0</x:v>
      </x:c>
      <x:c r="J275" s="51" t="b">
        <x:v>0</x:v>
      </x:c>
      <x:c r="K275" s="51" t="b">
        <x:v>0</x:v>
      </x:c>
      <x:c r="L275" s="51" t="b">
        <x:v>0</x:v>
      </x:c>
      <x:c r="M275" s="51" t="b">
        <x:v>0</x:v>
      </x:c>
      <x:c r="N275" s="51" t="b">
        <x:v>1</x:v>
      </x:c>
    </x:row>
    <x:row r="276">
      <x:c r="A276" t="str">
        <x:v>M&amp;M</x:v>
      </x:c>
      <x:c r="B276" s="52" t="n">
        <x:v>43725</x:v>
      </x:c>
      <x:c r="C276" s="53" t="n">
        <x:v>521.95</x:v>
      </x:c>
      <x:c r="D276" s="46" t="n">
        <x:v>0.08995114474566512</x:v>
      </x:c>
      <x:c r="E276" s="46" t="n">
        <x:v>0.06657725835808037</x:v>
      </x:c>
      <x:c r="F276" t="n">
        <x:v>3</x:v>
      </x:c>
      <x:c r="G276" s="51" t="b">
        <x:v>0</x:v>
      </x:c>
      <x:c r="H276" s="51" t="b">
        <x:v>0</x:v>
      </x:c>
      <x:c r="I276" s="51" t="b">
        <x:v>0</x:v>
      </x:c>
      <x:c r="J276" s="51" t="b">
        <x:v>0</x:v>
      </x:c>
      <x:c r="K276" s="51" t="b">
        <x:v>0</x:v>
      </x:c>
      <x:c r="L276" s="51" t="b">
        <x:v>0</x:v>
      </x:c>
      <x:c r="M276" s="51" t="b">
        <x:v>0</x:v>
      </x:c>
      <x:c r="N276" s="51" t="b">
        <x:v>1</x:v>
      </x:c>
    </x:row>
    <x:row r="277">
      <x:c r="A277" t="str">
        <x:v>M&amp;M</x:v>
      </x:c>
      <x:c r="B277" s="52" t="n">
        <x:v>43836</x:v>
      </x:c>
      <x:c r="C277" s="53" t="n">
        <x:v>524.5</x:v>
      </x:c>
      <x:c r="D277" s="46" t="n">
        <x:v>0.08627264061010487</x:v>
      </x:c>
      <x:c r="E277" s="46" t="n">
        <x:v>0.08141086749285043</x:v>
      </x:c>
      <x:c r="F277" t="n">
        <x:v>7</x:v>
      </x:c>
      <x:c r="G277" s="51" t="b">
        <x:v>0</x:v>
      </x:c>
      <x:c r="H277" s="51" t="b">
        <x:v>0</x:v>
      </x:c>
      <x:c r="I277" s="51" t="b">
        <x:v>0</x:v>
      </x:c>
      <x:c r="J277" s="51" t="b">
        <x:v>0</x:v>
      </x:c>
      <x:c r="K277" s="51" t="b">
        <x:v>1</x:v>
      </x:c>
      <x:c r="L277" s="51" t="b">
        <x:v>1</x:v>
      </x:c>
      <x:c r="M277" s="51" t="b">
        <x:v>0</x:v>
      </x:c>
      <x:c r="N277" s="51" t="b">
        <x:v>1</x:v>
      </x:c>
    </x:row>
    <x:row r="278">
      <x:c r="A278" t="str">
        <x:v>M&amp;M</x:v>
      </x:c>
      <x:c r="B278" s="52" t="n">
        <x:v>43913</x:v>
      </x:c>
      <x:c r="C278" s="53" t="n">
        <x:v>293.4</x:v>
      </x:c>
      <x:c r="D278" s="46" t="n">
        <x:v>0.11247443762781195</x:v>
      </x:c>
      <x:c r="E278" s="46" t="n">
        <x:v>0.11247443762781195</x:v>
      </x:c>
      <x:c r="F278" t="n">
        <x:v>9</x:v>
      </x:c>
      <x:c r="G278" s="51" t="b">
        <x:v>0</x:v>
      </x:c>
      <x:c r="H278" s="51" t="b">
        <x:v>0</x:v>
      </x:c>
      <x:c r="I278" s="51" t="b">
        <x:v>0</x:v>
      </x:c>
      <x:c r="J278" s="51" t="b">
        <x:v>0</x:v>
      </x:c>
      <x:c r="K278" s="51" t="b">
        <x:v>0</x:v>
      </x:c>
      <x:c r="L278" s="51" t="b">
        <x:v>1</x:v>
      </x:c>
      <x:c r="M278" s="51" t="b">
        <x:v>0</x:v>
      </x:c>
      <x:c r="N278" s="51" t="b">
        <x:v>0</x:v>
      </x:c>
    </x:row>
    <x:row r="279">
      <x:c r="A279" t="str">
        <x:v>M&amp;M</x:v>
      </x:c>
      <x:c r="B279" s="52" t="n">
        <x:v>43942</x:v>
      </x:c>
      <x:c r="C279" s="53" t="n">
        <x:v>332.05</x:v>
      </x:c>
      <x:c r="D279" s="46" t="n">
        <x:v>0.1659388646288209</x:v>
      </x:c>
      <x:c r="E279" s="46" t="n">
        <x:v>0.1659388646288209</x:v>
      </x:c>
      <x:c r="F279" t="n">
        <x:v>7</x:v>
      </x:c>
      <x:c r="G279" s="51" t="b">
        <x:v>0</x:v>
      </x:c>
      <x:c r="H279" s="51" t="b">
        <x:v>0</x:v>
      </x:c>
      <x:c r="I279" s="51" t="b">
        <x:v>0</x:v>
      </x:c>
      <x:c r="J279" s="51" t="b">
        <x:v>0</x:v>
      </x:c>
      <x:c r="K279" s="51" t="b">
        <x:v>0</x:v>
      </x:c>
      <x:c r="L279" s="51" t="b">
        <x:v>0</x:v>
      </x:c>
      <x:c r="M279" s="51" t="b">
        <x:v>0</x:v>
      </x:c>
      <x:c r="N279" s="51" t="b">
        <x:v>0</x:v>
      </x:c>
    </x:row>
    <x:row r="280">
      <x:c r="A280" t="str">
        <x:v>M&amp;M</x:v>
      </x:c>
      <x:c r="B280" s="52" t="n">
        <x:v>43992</x:v>
      </x:c>
      <x:c r="C280" s="53" t="n">
        <x:v>472.05</x:v>
      </x:c>
      <x:c r="D280" s="46" t="n">
        <x:v>0.09395191187374219</x:v>
      </x:c>
      <x:c r="E280" s="46" t="n">
        <x:v>0.09172757123186104</x:v>
      </x:c>
      <x:c r="F280" t="n">
        <x:v>9</x:v>
      </x:c>
      <x:c r="G280" s="51" t="b">
        <x:v>0</x:v>
      </x:c>
      <x:c r="H280" s="51" t="b">
        <x:v>0</x:v>
      </x:c>
      <x:c r="I280" s="51" t="b">
        <x:v>0</x:v>
      </x:c>
      <x:c r="J280" s="51" t="b">
        <x:v>0</x:v>
      </x:c>
      <x:c r="K280" s="51" t="b">
        <x:v>0</x:v>
      </x:c>
      <x:c r="L280" s="51" t="b">
        <x:v>1</x:v>
      </x:c>
      <x:c r="M280" s="51" t="b">
        <x:v>1</x:v>
      </x:c>
      <x:c r="N280" s="51" t="b">
        <x:v>0</x:v>
      </x:c>
    </x:row>
    <x:row r="281">
      <x:c r="A281" t="str">
        <x:v>M&amp;M</x:v>
      </x:c>
      <x:c r="B281" s="52" t="n">
        <x:v>44004</x:v>
      </x:c>
      <x:c r="C281" s="53" t="n">
        <x:v>498.75</x:v>
      </x:c>
      <x:c r="D281" s="46" t="n">
        <x:v>0.1439598997493734</x:v>
      </x:c>
      <x:c r="E281" s="46" t="n">
        <x:v>0.1439598997493734</x:v>
      </x:c>
      <x:c r="F281" t="n">
        <x:v>10</x:v>
      </x:c>
      <x:c r="G281" s="51" t="b">
        <x:v>0</x:v>
      </x:c>
      <x:c r="H281" s="51" t="b">
        <x:v>0</x:v>
      </x:c>
      <x:c r="I281" s="51" t="b">
        <x:v>1</x:v>
      </x:c>
      <x:c r="J281" s="51" t="b">
        <x:v>0</x:v>
      </x:c>
      <x:c r="K281" s="51" t="b">
        <x:v>1</x:v>
      </x:c>
      <x:c r="L281" s="51" t="b">
        <x:v>1</x:v>
      </x:c>
      <x:c r="M281" s="51" t="b">
        <x:v>1</x:v>
      </x:c>
      <x:c r="N281" s="51" t="b">
        <x:v>0</x:v>
      </x:c>
    </x:row>
    <x:row r="282">
      <x:c r="A282" t="str">
        <x:v>M&amp;M</x:v>
      </x:c>
      <x:c r="B282" s="52" t="n">
        <x:v>44098</x:v>
      </x:c>
      <x:c r="C282" s="53" t="n">
        <x:v>575.1</x:v>
      </x:c>
      <x:c r="D282" s="46" t="n">
        <x:v>0.10267779516605802</x:v>
      </x:c>
      <x:c r="E282" s="46" t="n">
        <x:v>0.1010259085376457</x:v>
      </x:c>
      <x:c r="F282" t="n">
        <x:v>7</x:v>
      </x:c>
      <x:c r="G282" s="51" t="b">
        <x:v>0</x:v>
      </x:c>
      <x:c r="H282" s="51" t="b">
        <x:v>0</x:v>
      </x:c>
      <x:c r="I282" s="51" t="b">
        <x:v>1</x:v>
      </x:c>
      <x:c r="J282" s="51" t="b">
        <x:v>0</x:v>
      </x:c>
      <x:c r="K282" s="51" t="b">
        <x:v>0</x:v>
      </x:c>
      <x:c r="L282" s="51" t="b">
        <x:v>1</x:v>
      </x:c>
      <x:c r="M282" s="51" t="b">
        <x:v>0</x:v>
      </x:c>
      <x:c r="N282" s="51" t="b">
        <x:v>0</x:v>
      </x:c>
    </x:row>
    <x:row r="283">
      <x:c r="A283" t="str">
        <x:v>M&amp;M</x:v>
      </x:c>
      <x:c r="B283" s="52" t="n">
        <x:v>44139</x:v>
      </x:c>
      <x:c r="C283" s="53" t="n">
        <x:v>596.8</x:v>
      </x:c>
      <x:c r="D283" s="46" t="n">
        <x:v>0.18255697050938346</x:v>
      </x:c>
      <x:c r="E283" s="46" t="n">
        <x:v>0.18255697050938346</x:v>
      </x:c>
      <x:c r="F283" t="n">
        <x:v>10</x:v>
      </x:c>
      <x:c r="G283" s="51" t="b">
        <x:v>0</x:v>
      </x:c>
      <x:c r="H283" s="51" t="b">
        <x:v>0</x:v>
      </x:c>
      <x:c r="I283" s="51" t="b">
        <x:v>0</x:v>
      </x:c>
      <x:c r="J283" s="51" t="b">
        <x:v>0</x:v>
      </x:c>
      <x:c r="K283" s="51" t="b">
        <x:v>0</x:v>
      </x:c>
      <x:c r="L283" s="51" t="b">
        <x:v>0</x:v>
      </x:c>
      <x:c r="M283" s="51" t="b">
        <x:v>0</x:v>
      </x:c>
      <x:c r="N283" s="51" t="b">
        <x:v>0</x:v>
      </x:c>
    </x:row>
    <x:row r="284">
      <x:c r="A284" t="str">
        <x:v>M&amp;M</x:v>
      </x:c>
      <x:c r="B284" s="52" t="n">
        <x:v>44186</x:v>
      </x:c>
      <x:c r="C284" s="53" t="n">
        <x:v>685.95</x:v>
      </x:c>
      <x:c r="D284" s="46" t="n">
        <x:v>0.09206210365186962</x:v>
      </x:c>
      <x:c r="E284" s="46" t="n">
        <x:v>0.07894161382024922</x:v>
      </x:c>
      <x:c r="F284" t="n">
        <x:v>9</x:v>
      </x:c>
      <x:c r="G284" s="51" t="b">
        <x:v>0</x:v>
      </x:c>
      <x:c r="H284" s="51" t="b">
        <x:v>0</x:v>
      </x:c>
      <x:c r="I284" s="51" t="b">
        <x:v>0</x:v>
      </x:c>
      <x:c r="J284" s="51" t="b">
        <x:v>0</x:v>
      </x:c>
      <x:c r="K284" s="51" t="b">
        <x:v>0</x:v>
      </x:c>
      <x:c r="L284" s="51" t="b">
        <x:v>0</x:v>
      </x:c>
      <x:c r="M284" s="51" t="b">
        <x:v>1</x:v>
      </x:c>
      <x:c r="N284" s="51" t="b">
        <x:v>0</x:v>
      </x:c>
    </x:row>
    <x:row r="285">
      <x:c r="A285" t="str">
        <x:v>MARUTI</x:v>
      </x:c>
      <x:c r="B285" s="52" t="n">
        <x:v>42429</x:v>
      </x:c>
      <x:c r="C285" s="53" t="n">
        <x:v>3236.5</x:v>
      </x:c>
      <x:c r="D285" s="46" t="n">
        <x:v>0.12916731036613638</x:v>
      </x:c>
      <x:c r="E285" s="46" t="n">
        <x:v>0.12916731036613638</x:v>
      </x:c>
      <x:c r="F285" t="n">
        <x:v>2</x:v>
      </x:c>
      <x:c r="G285" s="51" t="b">
        <x:v>0</x:v>
      </x:c>
      <x:c r="H285" s="51" t="b">
        <x:v>0</x:v>
      </x:c>
      <x:c r="I285" s="51" t="b">
        <x:v>0</x:v>
      </x:c>
      <x:c r="J285" s="51" t="b">
        <x:v>0</x:v>
      </x:c>
      <x:c r="K285" s="51" t="b">
        <x:v>0</x:v>
      </x:c>
      <x:c r="L285" s="51" t="b">
        <x:v>0</x:v>
      </x:c>
      <x:c r="M285" s="51" t="b">
        <x:v>0</x:v>
      </x:c>
      <x:c r="N285" s="51" t="b">
        <x:v>0</x:v>
      </x:c>
    </x:row>
    <x:row r="286">
      <x:c r="A286" t="str">
        <x:v>MARUTI</x:v>
      </x:c>
      <x:c r="B286" s="52" t="n">
        <x:v>42467</x:v>
      </x:c>
      <x:c r="C286" s="53" t="n">
        <x:v>3471</x:v>
      </x:c>
      <x:c r="D286" s="46" t="n">
        <x:v>0.11539902045520023</x:v>
      </x:c>
      <x:c r="E286" s="46" t="n">
        <x:v>0.11539902045520023</x:v>
      </x:c>
      <x:c r="F286" t="n">
        <x:v>8</x:v>
      </x:c>
      <x:c r="G286" s="51" t="b">
        <x:v>0</x:v>
      </x:c>
      <x:c r="H286" s="51" t="b">
        <x:v>0</x:v>
      </x:c>
      <x:c r="I286" s="51" t="b">
        <x:v>0</x:v>
      </x:c>
      <x:c r="J286" s="51" t="b">
        <x:v>0</x:v>
      </x:c>
      <x:c r="K286" s="51" t="b">
        <x:v>0</x:v>
      </x:c>
      <x:c r="L286" s="51" t="b">
        <x:v>0</x:v>
      </x:c>
      <x:c r="M286" s="51" t="b">
        <x:v>1</x:v>
      </x:c>
      <x:c r="N286" s="51" t="b">
        <x:v>0</x:v>
      </x:c>
    </x:row>
    <x:row r="287">
      <x:c r="A287" t="str">
        <x:v>MARUTI</x:v>
      </x:c>
      <x:c r="B287" s="52" t="n">
        <x:v>42548</x:v>
      </x:c>
      <x:c r="C287" s="53" t="n">
        <x:v>4025.1</x:v>
      </x:c>
      <x:c r="D287" s="46" t="n">
        <x:v>0.08578668852947757</x:v>
      </x:c>
      <x:c r="E287" s="46" t="n">
        <x:v>0.08578668852947757</x:v>
      </x:c>
      <x:c r="F287" t="n">
        <x:v>10</x:v>
      </x:c>
      <x:c r="G287" s="51" t="b">
        <x:v>0</x:v>
      </x:c>
      <x:c r="H287" s="51" t="b">
        <x:v>0</x:v>
      </x:c>
      <x:c r="I287" s="51" t="b">
        <x:v>0</x:v>
      </x:c>
      <x:c r="J287" s="51" t="b">
        <x:v>0</x:v>
      </x:c>
      <x:c r="K287" s="51" t="b">
        <x:v>0</x:v>
      </x:c>
      <x:c r="L287" s="51" t="b">
        <x:v>1</x:v>
      </x:c>
      <x:c r="M287" s="51" t="b">
        <x:v>1</x:v>
      </x:c>
      <x:c r="N287" s="51" t="b">
        <x:v>0</x:v>
      </x:c>
    </x:row>
    <x:row r="288">
      <x:c r="A288" t="str">
        <x:v>MARUTI</x:v>
      </x:c>
      <x:c r="B288" s="52" t="n">
        <x:v>42558</x:v>
      </x:c>
      <x:c r="C288" s="53" t="n">
        <x:v>4141.1</x:v>
      </x:c>
      <x:c r="D288" s="46" t="n">
        <x:v>0.08321460481514564</x:v>
      </x:c>
      <x:c r="E288" s="46" t="n">
        <x:v>0.06582792011784289</x:v>
      </x:c>
      <x:c r="F288" t="n">
        <x:v>8</x:v>
      </x:c>
      <x:c r="G288" s="51" t="b">
        <x:v>0</x:v>
      </x:c>
      <x:c r="H288" s="51" t="b">
        <x:v>0</x:v>
      </x:c>
      <x:c r="I288" s="51" t="b">
        <x:v>0</x:v>
      </x:c>
      <x:c r="J288" s="51" t="b">
        <x:v>0</x:v>
      </x:c>
      <x:c r="K288" s="51" t="b">
        <x:v>0</x:v>
      </x:c>
      <x:c r="L288" s="51" t="b">
        <x:v>0</x:v>
      </x:c>
      <x:c r="M288" s="51" t="b">
        <x:v>1</x:v>
      </x:c>
      <x:c r="N288" s="51" t="b">
        <x:v>0</x:v>
      </x:c>
    </x:row>
    <x:row r="289">
      <x:c r="A289" t="str">
        <x:v>MARUTI</x:v>
      </x:c>
      <x:c r="B289" s="52" t="n">
        <x:v>42569</x:v>
      </x:c>
      <x:c r="C289" s="53" t="n">
        <x:v>4454.75</x:v>
      </x:c>
      <x:c r="D289" s="46" t="n">
        <x:v>0.09237330938885457</x:v>
      </x:c>
      <x:c r="E289" s="46" t="n">
        <x:v>0.09237330938885457</x:v>
      </x:c>
      <x:c r="F289" t="n">
        <x:v>10</x:v>
      </x:c>
      <x:c r="G289" s="51" t="b">
        <x:v>0</x:v>
      </x:c>
      <x:c r="H289" s="51" t="b">
        <x:v>0</x:v>
      </x:c>
      <x:c r="I289" s="51" t="b">
        <x:v>1</x:v>
      </x:c>
      <x:c r="J289" s="51" t="b">
        <x:v>0</x:v>
      </x:c>
      <x:c r="K289" s="51" t="b">
        <x:v>0</x:v>
      </x:c>
      <x:c r="L289" s="51" t="b">
        <x:v>1</x:v>
      </x:c>
      <x:c r="M289" s="51" t="b">
        <x:v>1</x:v>
      </x:c>
      <x:c r="N289" s="51" t="b">
        <x:v>0</x:v>
      </x:c>
    </x:row>
    <x:row r="290">
      <x:c r="A290" t="str">
        <x:v>MARUTI</x:v>
      </x:c>
      <x:c r="B290" s="52" t="n">
        <x:v>42604</x:v>
      </x:c>
      <x:c r="C290" s="53" t="n">
        <x:v>4837.75</x:v>
      </x:c>
      <x:c r="D290" s="46" t="n">
        <x:v>0.09962275851377189</x:v>
      </x:c>
      <x:c r="E290" s="46" t="n">
        <x:v>0.09962275851377189</x:v>
      </x:c>
      <x:c r="F290" t="n">
        <x:v>10</x:v>
      </x:c>
      <x:c r="G290" s="51" t="b">
        <x:v>0</x:v>
      </x:c>
      <x:c r="H290" s="51" t="b">
        <x:v>0</x:v>
      </x:c>
      <x:c r="I290" s="51" t="b">
        <x:v>0</x:v>
      </x:c>
      <x:c r="J290" s="51" t="b">
        <x:v>0</x:v>
      </x:c>
      <x:c r="K290" s="51" t="b">
        <x:v>1</x:v>
      </x:c>
      <x:c r="L290" s="51" t="b">
        <x:v>0</x:v>
      </x:c>
      <x:c r="M290" s="51" t="b">
        <x:v>1</x:v>
      </x:c>
      <x:c r="N290" s="51" t="b">
        <x:v>0</x:v>
      </x:c>
    </x:row>
    <x:row r="291">
      <x:c r="A291" t="str">
        <x:v>MARUTI</x:v>
      </x:c>
      <x:c r="B291" s="52" t="n">
        <x:v>42695</x:v>
      </x:c>
      <x:c r="C291" s="53" t="n">
        <x:v>4787.45</x:v>
      </x:c>
      <x:c r="D291" s="46" t="n">
        <x:v>0.09995926850410974</x:v>
      </x:c>
      <x:c r="E291" s="46" t="n">
        <x:v>0.08678941816624719</x:v>
      </x:c>
      <x:c r="F291" t="n">
        <x:v>7</x:v>
      </x:c>
      <x:c r="G291" s="51" t="b">
        <x:v>0</x:v>
      </x:c>
      <x:c r="H291" s="51" t="b">
        <x:v>0</x:v>
      </x:c>
      <x:c r="I291" s="51" t="b">
        <x:v>1</x:v>
      </x:c>
      <x:c r="J291" s="51" t="b">
        <x:v>0</x:v>
      </x:c>
      <x:c r="K291" s="51" t="b">
        <x:v>0</x:v>
      </x:c>
      <x:c r="L291" s="51" t="b">
        <x:v>0</x:v>
      </x:c>
      <x:c r="M291" s="51" t="b">
        <x:v>1</x:v>
      </x:c>
      <x:c r="N291" s="51" t="b">
        <x:v>0</x:v>
      </x:c>
    </x:row>
    <x:row r="292">
      <x:c r="A292" t="str">
        <x:v>MARUTI</x:v>
      </x:c>
      <x:c r="B292" s="52" t="n">
        <x:v>42726</x:v>
      </x:c>
      <x:c r="C292" s="53" t="n">
        <x:v>5084.4</x:v>
      </x:c>
      <x:c r="D292" s="46" t="n">
        <x:v>0.108282196522697</x:v>
      </x:c>
      <x:c r="E292" s="46" t="n">
        <x:v>0.108282196522697</x:v>
      </x:c>
      <x:c r="F292" t="n">
        <x:v>8</x:v>
      </x:c>
      <x:c r="G292" s="51" t="b">
        <x:v>0</x:v>
      </x:c>
      <x:c r="H292" s="51" t="b">
        <x:v>0</x:v>
      </x:c>
      <x:c r="I292" s="51" t="b">
        <x:v>0</x:v>
      </x:c>
      <x:c r="J292" s="51" t="b">
        <x:v>0</x:v>
      </x:c>
      <x:c r="K292" s="51" t="b">
        <x:v>1</x:v>
      </x:c>
      <x:c r="L292" s="51" t="b">
        <x:v>0</x:v>
      </x:c>
      <x:c r="M292" s="51" t="b">
        <x:v>1</x:v>
      </x:c>
      <x:c r="N292" s="51" t="b">
        <x:v>0</x:v>
      </x:c>
    </x:row>
    <x:row r="293">
      <x:c r="A293" t="str">
        <x:v>MARUTI</x:v>
      </x:c>
      <x:c r="B293" s="52" t="n">
        <x:v>42752</x:v>
      </x:c>
      <x:c r="C293" s="53" t="n">
        <x:v>5669.4</x:v>
      </x:c>
      <x:c r="D293" s="46" t="n">
        <x:v>0.08992133206335762</x:v>
      </x:c>
      <x:c r="E293" s="46" t="n">
        <x:v>0.08992133206335762</x:v>
      </x:c>
      <x:c r="F293" t="n">
        <x:v>10</x:v>
      </x:c>
      <x:c r="G293" s="51" t="b">
        <x:v>0</x:v>
      </x:c>
      <x:c r="H293" s="51" t="b">
        <x:v>0</x:v>
      </x:c>
      <x:c r="I293" s="51" t="b">
        <x:v>0</x:v>
      </x:c>
      <x:c r="J293" s="51" t="b">
        <x:v>0</x:v>
      </x:c>
      <x:c r="K293" s="51" t="b">
        <x:v>0</x:v>
      </x:c>
      <x:c r="L293" s="51" t="b">
        <x:v>0</x:v>
      </x:c>
      <x:c r="M293" s="51" t="b">
        <x:v>1</x:v>
      </x:c>
      <x:c r="N293" s="51" t="b">
        <x:v>0</x:v>
      </x:c>
    </x:row>
    <x:row r="294">
      <x:c r="A294" t="str">
        <x:v>MARUTI</x:v>
      </x:c>
      <x:c r="B294" s="52" t="n">
        <x:v>42842</x:v>
      </x:c>
      <x:c r="C294" s="53" t="n">
        <x:v>6115.55</x:v>
      </x:c>
      <x:c r="D294" s="46" t="n">
        <x:v>0.09646720245930451</x:v>
      </x:c>
      <x:c r="E294" s="46" t="n">
        <x:v>0.09646720245930451</x:v>
      </x:c>
      <x:c r="F294" t="n">
        <x:v>10</x:v>
      </x:c>
      <x:c r="G294" s="51" t="b">
        <x:v>0</x:v>
      </x:c>
      <x:c r="H294" s="51" t="b">
        <x:v>0</x:v>
      </x:c>
      <x:c r="I294" s="51" t="b">
        <x:v>0</x:v>
      </x:c>
      <x:c r="J294" s="51" t="b">
        <x:v>0</x:v>
      </x:c>
      <x:c r="K294" s="51" t="b">
        <x:v>0</x:v>
      </x:c>
      <x:c r="L294" s="51" t="b">
        <x:v>0</x:v>
      </x:c>
      <x:c r="M294" s="51" t="b">
        <x:v>1</x:v>
      </x:c>
      <x:c r="N294" s="51" t="b">
        <x:v>0</x:v>
      </x:c>
    </x:row>
    <x:row r="295">
      <x:c r="A295" t="str">
        <x:v>MARUTI</x:v>
      </x:c>
      <x:c r="B295" s="52" t="n">
        <x:v>42976</x:v>
      </x:c>
      <x:c r="C295" s="53" t="n">
        <x:v>7521.5</x:v>
      </x:c>
      <x:c r="D295" s="46" t="n">
        <x:v>0.08415874493119713</x:v>
      </x:c>
      <x:c r="E295" s="46" t="n">
        <x:v>0.08415874493119713</x:v>
      </x:c>
      <x:c r="F295" t="n">
        <x:v>9</x:v>
      </x:c>
      <x:c r="G295" s="51" t="b">
        <x:v>0</x:v>
      </x:c>
      <x:c r="H295" s="51" t="b">
        <x:v>0</x:v>
      </x:c>
      <x:c r="I295" s="51" t="b">
        <x:v>0</x:v>
      </x:c>
      <x:c r="J295" s="51" t="b">
        <x:v>0</x:v>
      </x:c>
      <x:c r="K295" s="51" t="b">
        <x:v>0</x:v>
      </x:c>
      <x:c r="L295" s="51" t="b">
        <x:v>0</x:v>
      </x:c>
      <x:c r="M295" s="51" t="b">
        <x:v>1</x:v>
      </x:c>
      <x:c r="N295" s="51" t="b">
        <x:v>0</x:v>
      </x:c>
    </x:row>
    <x:row r="296">
      <x:c r="A296" t="str">
        <x:v>MARUTI</x:v>
      </x:c>
      <x:c r="B296" s="52" t="n">
        <x:v>43073</x:v>
      </x:c>
      <x:c r="C296" s="53" t="n">
        <x:v>8500.8</x:v>
      </x:c>
      <x:c r="D296" s="46" t="n">
        <x:v>0.0950851684547338</x:v>
      </x:c>
      <x:c r="E296" s="46" t="n">
        <x:v>0.0950851684547338</x:v>
      </x:c>
      <x:c r="F296" t="n">
        <x:v>10</x:v>
      </x:c>
      <x:c r="G296" s="51" t="b">
        <x:v>0</x:v>
      </x:c>
      <x:c r="H296" s="51" t="b">
        <x:v>0</x:v>
      </x:c>
      <x:c r="I296" s="51" t="b">
        <x:v>0</x:v>
      </x:c>
      <x:c r="J296" s="51" t="b">
        <x:v>0</x:v>
      </x:c>
      <x:c r="K296" s="51" t="b">
        <x:v>0</x:v>
      </x:c>
      <x:c r="L296" s="51" t="b">
        <x:v>0</x:v>
      </x:c>
      <x:c r="M296" s="51" t="b">
        <x:v>1</x:v>
      </x:c>
      <x:c r="N296" s="51" t="b">
        <x:v>0</x:v>
      </x:c>
    </x:row>
    <x:row r="297">
      <x:c r="A297" t="str">
        <x:v>MARUTI</x:v>
      </x:c>
      <x:c r="B297" s="52" t="n">
        <x:v>43279</x:v>
      </x:c>
      <x:c r="C297" s="53" t="n">
        <x:v>8771.3</x:v>
      </x:c>
      <x:c r="D297" s="46" t="n">
        <x:v>0.08661201874294577</x:v>
      </x:c>
      <x:c r="E297" s="46" t="n">
        <x:v>0.06563451255800179</x:v>
      </x:c>
      <x:c r="F297" t="n">
        <x:v>8</x:v>
      </x:c>
      <x:c r="G297" s="51" t="b">
        <x:v>0</x:v>
      </x:c>
      <x:c r="H297" s="51" t="b">
        <x:v>0</x:v>
      </x:c>
      <x:c r="I297" s="51" t="b">
        <x:v>0</x:v>
      </x:c>
      <x:c r="J297" s="51" t="b">
        <x:v>0</x:v>
      </x:c>
      <x:c r="K297" s="51" t="b">
        <x:v>0</x:v>
      </x:c>
      <x:c r="L297" s="51" t="b">
        <x:v>1</x:v>
      </x:c>
      <x:c r="M297" s="51" t="b">
        <x:v>0</x:v>
      </x:c>
      <x:c r="N297" s="51" t="b">
        <x:v>1</x:v>
      </x:c>
    </x:row>
    <x:row r="298">
      <x:c r="A298" t="str">
        <x:v>MARUTI</x:v>
      </x:c>
      <x:c r="B298" s="52" t="n">
        <x:v>43382</x:v>
      </x:c>
      <x:c r="C298" s="53" t="n">
        <x:v>6699.45</x:v>
      </x:c>
      <x:c r="D298" s="46" t="n">
        <x:v>0.08773108240228678</x:v>
      </x:c>
      <x:c r="E298" s="46" t="n">
        <x:v>0.01027696303427894</x:v>
      </x:c>
      <x:c r="F298" t="n">
        <x:v>3</x:v>
      </x:c>
      <x:c r="G298" s="51" t="b">
        <x:v>0</x:v>
      </x:c>
      <x:c r="H298" s="51" t="b">
        <x:v>0</x:v>
      </x:c>
      <x:c r="I298" s="51" t="b">
        <x:v>0</x:v>
      </x:c>
      <x:c r="J298" s="51" t="b">
        <x:v>0</x:v>
      </x:c>
      <x:c r="K298" s="51" t="b">
        <x:v>0</x:v>
      </x:c>
      <x:c r="L298" s="51" t="b">
        <x:v>0</x:v>
      </x:c>
      <x:c r="M298" s="51" t="b">
        <x:v>0</x:v>
      </x:c>
      <x:c r="N298" s="51" t="b">
        <x:v>1</x:v>
      </x:c>
    </x:row>
    <x:row r="299">
      <x:c r="A299" t="str">
        <x:v>MARUTI</x:v>
      </x:c>
      <x:c r="B299" s="52" t="n">
        <x:v>43398</x:v>
      </x:c>
      <x:c r="C299" s="53" t="n">
        <x:v>6723.2</x:v>
      </x:c>
      <x:c r="D299" s="46" t="n">
        <x:v>0.08333829128986192</x:v>
      </x:c>
      <x:c r="E299" s="46" t="n">
        <x:v>0.08333829128986192</x:v>
      </x:c>
      <x:c r="F299" t="n">
        <x:v>10</x:v>
      </x:c>
      <x:c r="G299" s="51" t="b">
        <x:v>0</x:v>
      </x:c>
      <x:c r="H299" s="51" t="b">
        <x:v>0</x:v>
      </x:c>
      <x:c r="I299" s="51" t="b">
        <x:v>0</x:v>
      </x:c>
      <x:c r="J299" s="51" t="b">
        <x:v>0</x:v>
      </x:c>
      <x:c r="K299" s="51" t="b">
        <x:v>0</x:v>
      </x:c>
      <x:c r="L299" s="51" t="b">
        <x:v>0</x:v>
      </x:c>
      <x:c r="M299" s="51" t="b">
        <x:v>0</x:v>
      </x:c>
      <x:c r="N299" s="51" t="b">
        <x:v>1</x:v>
      </x:c>
    </x:row>
    <x:row r="300">
      <x:c r="A300" t="str">
        <x:v>MARUTI</x:v>
      </x:c>
      <x:c r="B300" s="52" t="n">
        <x:v>43440</x:v>
      </x:c>
      <x:c r="C300" s="53" t="n">
        <x:v>7209.7</x:v>
      </x:c>
      <x:c r="D300" s="46" t="n">
        <x:v>0.10073928180090719</x:v>
      </x:c>
      <x:c r="E300" s="46" t="n">
        <x:v>0.08285365549190682</x:v>
      </x:c>
      <x:c r="F300" t="n">
        <x:v>9</x:v>
      </x:c>
      <x:c r="G300" s="51" t="b">
        <x:v>0</x:v>
      </x:c>
      <x:c r="H300" s="51" t="b">
        <x:v>0</x:v>
      </x:c>
      <x:c r="I300" s="51" t="b">
        <x:v>0</x:v>
      </x:c>
      <x:c r="J300" s="51" t="b">
        <x:v>0</x:v>
      </x:c>
      <x:c r="K300" s="51" t="b">
        <x:v>0</x:v>
      </x:c>
      <x:c r="L300" s="51" t="b">
        <x:v>0</x:v>
      </x:c>
      <x:c r="M300" s="51" t="b">
        <x:v>0</x:v>
      </x:c>
      <x:c r="N300" s="51" t="b">
        <x:v>1</x:v>
      </x:c>
    </x:row>
    <x:row r="301">
      <x:c r="A301" t="str">
        <x:v>MARUTI</x:v>
      </x:c>
      <x:c r="B301" s="52" t="n">
        <x:v>43490</x:v>
      </x:c>
      <x:c r="C301" s="53" t="n">
        <x:v>6513.4</x:v>
      </x:c>
      <x:c r="D301" s="46" t="n">
        <x:v>0.12115792059446684</x:v>
      </x:c>
      <x:c r="E301" s="46" t="n">
        <x:v>0.09531888107593578</x:v>
      </x:c>
      <x:c r="F301" t="n">
        <x:v>7</x:v>
      </x:c>
      <x:c r="G301" s="51" t="b">
        <x:v>0</x:v>
      </x:c>
      <x:c r="H301" s="51" t="b">
        <x:v>0</x:v>
      </x:c>
      <x:c r="I301" s="51" t="b">
        <x:v>0</x:v>
      </x:c>
      <x:c r="J301" s="51" t="b">
        <x:v>0</x:v>
      </x:c>
      <x:c r="K301" s="51" t="b">
        <x:v>0</x:v>
      </x:c>
      <x:c r="L301" s="51" t="b">
        <x:v>1</x:v>
      </x:c>
      <x:c r="M301" s="51" t="b">
        <x:v>0</x:v>
      </x:c>
      <x:c r="N301" s="51" t="b">
        <x:v>1</x:v>
      </x:c>
    </x:row>
    <x:row r="302">
      <x:c r="A302" t="str">
        <x:v>MARUTI</x:v>
      </x:c>
      <x:c r="B302" s="52" t="n">
        <x:v>43546</x:v>
      </x:c>
      <x:c r="C302" s="53" t="n">
        <x:v>6552.7</x:v>
      </x:c>
      <x:c r="D302" s="46" t="n">
        <x:v>0.08552199856547693</x:v>
      </x:c>
      <x:c r="E302" s="46" t="n">
        <x:v>0.08469791078486733</x:v>
      </x:c>
      <x:c r="F302" t="n">
        <x:v>9</x:v>
      </x:c>
      <x:c r="G302" s="51" t="b">
        <x:v>0</x:v>
      </x:c>
      <x:c r="H302" s="51" t="b">
        <x:v>0</x:v>
      </x:c>
      <x:c r="I302" s="51" t="b">
        <x:v>0</x:v>
      </x:c>
      <x:c r="J302" s="51" t="b">
        <x:v>0</x:v>
      </x:c>
      <x:c r="K302" s="51" t="b">
        <x:v>0</x:v>
      </x:c>
      <x:c r="L302" s="51" t="b">
        <x:v>1</x:v>
      </x:c>
      <x:c r="M302" s="51" t="b">
        <x:v>1</x:v>
      </x:c>
      <x:c r="N302" s="51" t="b">
        <x:v>1</x:v>
      </x:c>
    </x:row>
    <x:row r="303">
      <x:c r="A303" t="str">
        <x:v>MARUTI</x:v>
      </x:c>
      <x:c r="B303" s="52" t="n">
        <x:v>43598</x:v>
      </x:c>
      <x:c r="C303" s="53" t="n">
        <x:v>6543.75</x:v>
      </x:c>
      <x:c r="D303" s="46" t="n">
        <x:v>0.0839579751671442</x:v>
      </x:c>
      <x:c r="E303" s="46" t="n">
        <x:v>0.08018338108882528</x:v>
      </x:c>
      <x:c r="F303" t="n">
        <x:v>5</x:v>
      </x:c>
      <x:c r="G303" s="51" t="b">
        <x:v>0</x:v>
      </x:c>
      <x:c r="H303" s="51" t="b">
        <x:v>0</x:v>
      </x:c>
      <x:c r="I303" s="51" t="b">
        <x:v>0</x:v>
      </x:c>
      <x:c r="J303" s="51" t="b">
        <x:v>0</x:v>
      </x:c>
      <x:c r="K303" s="51" t="b">
        <x:v>0</x:v>
      </x:c>
      <x:c r="L303" s="51" t="b">
        <x:v>1</x:v>
      </x:c>
      <x:c r="M303" s="51" t="b">
        <x:v>1</x:v>
      </x:c>
      <x:c r="N303" s="51" t="b">
        <x:v>0</x:v>
      </x:c>
    </x:row>
    <x:row r="304">
      <x:c r="A304" t="str">
        <x:v>MARUTI</x:v>
      </x:c>
      <x:c r="B304" s="52" t="n">
        <x:v>43675</x:v>
      </x:c>
      <x:c r="C304" s="53" t="n">
        <x:v>5561.25</x:v>
      </x:c>
      <x:c r="D304" s="46" t="n">
        <x:v>0.09685772083614297</x:v>
      </x:c>
      <x:c r="E304" s="46" t="n">
        <x:v>0.045709148123173726</x:v>
      </x:c>
      <x:c r="F304" t="n">
        <x:v>9</x:v>
      </x:c>
      <x:c r="G304" s="51" t="b">
        <x:v>0</x:v>
      </x:c>
      <x:c r="H304" s="51" t="b">
        <x:v>0</x:v>
      </x:c>
      <x:c r="I304" s="51" t="b">
        <x:v>0</x:v>
      </x:c>
      <x:c r="J304" s="51" t="b">
        <x:v>0</x:v>
      </x:c>
      <x:c r="K304" s="51" t="b">
        <x:v>0</x:v>
      </x:c>
      <x:c r="L304" s="51" t="b">
        <x:v>0</x:v>
      </x:c>
      <x:c r="M304" s="51" t="b">
        <x:v>0</x:v>
      </x:c>
      <x:c r="N304" s="51" t="b">
        <x:v>1</x:v>
      </x:c>
    </x:row>
    <x:row r="305">
      <x:c r="A305" t="str">
        <x:v>MARUTI</x:v>
      </x:c>
      <x:c r="B305" s="52" t="n">
        <x:v>43705</x:v>
      </x:c>
      <x:c r="C305" s="53" t="n">
        <x:v>6103.4</x:v>
      </x:c>
      <x:c r="D305" s="46" t="n">
        <x:v>0.08092210898843266</x:v>
      </x:c>
      <x:c r="E305" s="46" t="n">
        <x:v>0.056837172723400275</x:v>
      </x:c>
      <x:c r="F305" t="n">
        <x:v>8</x:v>
      </x:c>
      <x:c r="G305" s="51" t="b">
        <x:v>0</x:v>
      </x:c>
      <x:c r="H305" s="51" t="b">
        <x:v>0</x:v>
      </x:c>
      <x:c r="I305" s="51" t="b">
        <x:v>0</x:v>
      </x:c>
      <x:c r="J305" s="51" t="b">
        <x:v>0</x:v>
      </x:c>
      <x:c r="K305" s="51" t="b">
        <x:v>1</x:v>
      </x:c>
      <x:c r="L305" s="51" t="b">
        <x:v>0</x:v>
      </x:c>
      <x:c r="M305" s="51" t="b">
        <x:v>0</x:v>
      </x:c>
      <x:c r="N305" s="51" t="b">
        <x:v>1</x:v>
      </x:c>
    </x:row>
    <x:row r="306">
      <x:c r="A306" t="str">
        <x:v>MARUTI</x:v>
      </x:c>
      <x:c r="B306" s="52" t="n">
        <x:v>43741</x:v>
      </x:c>
      <x:c r="C306" s="53" t="n">
        <x:v>6754.05</x:v>
      </x:c>
      <x:c r="D306" s="46" t="n">
        <x:v>0.08117351811135531</x:v>
      </x:c>
      <x:c r="E306" s="46" t="n">
        <x:v>0.08117351811135531</x:v>
      </x:c>
      <x:c r="F306" t="n">
        <x:v>10</x:v>
      </x:c>
      <x:c r="G306" s="51" t="b">
        <x:v>0</x:v>
      </x:c>
      <x:c r="H306" s="51" t="b">
        <x:v>0</x:v>
      </x:c>
      <x:c r="I306" s="51" t="b">
        <x:v>0</x:v>
      </x:c>
      <x:c r="J306" s="51" t="b">
        <x:v>0</x:v>
      </x:c>
      <x:c r="K306" s="51" t="b">
        <x:v>1</x:v>
      </x:c>
      <x:c r="L306" s="51" t="b">
        <x:v>0</x:v>
      </x:c>
      <x:c r="M306" s="51" t="b">
        <x:v>0</x:v>
      </x:c>
      <x:c r="N306" s="51" t="b">
        <x:v>1</x:v>
      </x:c>
    </x:row>
    <x:row r="307">
      <x:c r="A307" t="str">
        <x:v>MARUTI</x:v>
      </x:c>
      <x:c r="B307" s="52" t="n">
        <x:v>43913</x:v>
      </x:c>
      <x:c r="C307" s="53" t="n">
        <x:v>4220.35</x:v>
      </x:c>
      <x:c r="D307" s="46" t="n">
        <x:v>0.1861456988164487</x:v>
      </x:c>
      <x:c r="E307" s="46" t="n">
        <x:v>0.11320151172296145</x:v>
      </x:c>
      <x:c r="F307" t="n">
        <x:v>2</x:v>
      </x:c>
      <x:c r="G307" s="51" t="b">
        <x:v>0</x:v>
      </x:c>
      <x:c r="H307" s="51" t="b">
        <x:v>0</x:v>
      </x:c>
      <x:c r="I307" s="51" t="b">
        <x:v>0</x:v>
      </x:c>
      <x:c r="J307" s="51" t="b">
        <x:v>0</x:v>
      </x:c>
      <x:c r="K307" s="51" t="b">
        <x:v>0</x:v>
      </x:c>
      <x:c r="L307" s="51" t="b">
        <x:v>1</x:v>
      </x:c>
      <x:c r="M307" s="51" t="b">
        <x:v>0</x:v>
      </x:c>
      <x:c r="N307" s="51" t="b">
        <x:v>0</x:v>
      </x:c>
    </x:row>
    <x:row r="308">
      <x:c r="A308" t="str">
        <x:v>MARUTI</x:v>
      </x:c>
      <x:c r="B308" s="52" t="n">
        <x:v>43959</x:v>
      </x:c>
      <x:c r="C308" s="53" t="n">
        <x:v>4654.15</x:v>
      </x:c>
      <x:c r="D308" s="46" t="n">
        <x:v>0.10316599164186813</x:v>
      </x:c>
      <x:c r="E308" s="46" t="n">
        <x:v>0.10316599164186813</x:v>
      </x:c>
      <x:c r="F308" t="n">
        <x:v>3</x:v>
      </x:c>
      <x:c r="G308" s="51" t="b">
        <x:v>0</x:v>
      </x:c>
      <x:c r="H308" s="51" t="b">
        <x:v>0</x:v>
      </x:c>
      <x:c r="I308" s="51" t="b">
        <x:v>0</x:v>
      </x:c>
      <x:c r="J308" s="51" t="b">
        <x:v>0</x:v>
      </x:c>
      <x:c r="K308" s="51" t="b">
        <x:v>0</x:v>
      </x:c>
      <x:c r="L308" s="51" t="b">
        <x:v>0</x:v>
      </x:c>
      <x:c r="M308" s="51" t="b">
        <x:v>1</x:v>
      </x:c>
      <x:c r="N308" s="51" t="b">
        <x:v>0</x:v>
      </x:c>
    </x:row>
    <x:row r="309">
      <x:c r="A309" t="str">
        <x:v>MARUTI</x:v>
      </x:c>
      <x:c r="B309" s="52" t="n">
        <x:v>43993</x:v>
      </x:c>
      <x:c r="C309" s="53" t="n">
        <x:v>5426.15</x:v>
      </x:c>
      <x:c r="D309" s="46" t="n">
        <x:v>0.08683873464611191</x:v>
      </x:c>
      <x:c r="E309" s="46" t="n">
        <x:v>0.06195000138219564</x:v>
      </x:c>
      <x:c r="F309" t="n">
        <x:v>6</x:v>
      </x:c>
      <x:c r="G309" s="51" t="b">
        <x:v>0</x:v>
      </x:c>
      <x:c r="H309" s="51" t="b">
        <x:v>0</x:v>
      </x:c>
      <x:c r="I309" s="51" t="b">
        <x:v>0</x:v>
      </x:c>
      <x:c r="J309" s="51" t="b">
        <x:v>0</x:v>
      </x:c>
      <x:c r="K309" s="51" t="b">
        <x:v>1</x:v>
      </x:c>
      <x:c r="L309" s="51" t="b">
        <x:v>1</x:v>
      </x:c>
      <x:c r="M309" s="51" t="b">
        <x:v>1</x:v>
      </x:c>
      <x:c r="N309" s="51" t="b">
        <x:v>0</x:v>
      </x:c>
    </x:row>
    <x:row r="310">
      <x:c r="A310" t="str">
        <x:v>MARUTI</x:v>
      </x:c>
      <x:c r="B310" s="52" t="n">
        <x:v>44006</x:v>
      </x:c>
      <x:c r="C310" s="53" t="n">
        <x:v>5755.35</x:v>
      </x:c>
      <x:c r="D310" s="46" t="n">
        <x:v>0.08190640013205108</x:v>
      </x:c>
      <x:c r="E310" s="46" t="n">
        <x:v>0.05022283614376177</x:v>
      </x:c>
      <x:c r="F310" t="n">
        <x:v>9</x:v>
      </x:c>
      <x:c r="G310" s="51" t="b">
        <x:v>0</x:v>
      </x:c>
      <x:c r="H310" s="51" t="b">
        <x:v>0</x:v>
      </x:c>
      <x:c r="I310" s="51" t="b">
        <x:v>0</x:v>
      </x:c>
      <x:c r="J310" s="51" t="b">
        <x:v>0</x:v>
      </x:c>
      <x:c r="K310" s="51" t="b">
        <x:v>0</x:v>
      </x:c>
      <x:c r="L310" s="51" t="b">
        <x:v>1</x:v>
      </x:c>
      <x:c r="M310" s="51" t="b">
        <x:v>0</x:v>
      </x:c>
      <x:c r="N310" s="51" t="b">
        <x:v>0</x:v>
      </x:c>
    </x:row>
    <x:row r="311">
      <x:c r="A311" t="str">
        <x:v>MARUTI</x:v>
      </x:c>
      <x:c r="B311" s="52" t="n">
        <x:v>44026</x:v>
      </x:c>
      <x:c r="C311" s="53" t="n">
        <x:v>5771.75</x:v>
      </x:c>
      <x:c r="D311" s="46" t="n">
        <x:v>0.08854333607657994</x:v>
      </x:c>
      <x:c r="E311" s="46" t="n">
        <x:v>0.08854333607657994</x:v>
      </x:c>
      <x:c r="F311" t="n">
        <x:v>10</x:v>
      </x:c>
      <x:c r="G311" s="51" t="b">
        <x:v>0</x:v>
      </x:c>
      <x:c r="H311" s="51" t="b">
        <x:v>0</x:v>
      </x:c>
      <x:c r="I311" s="51" t="b">
        <x:v>0</x:v>
      </x:c>
      <x:c r="J311" s="51" t="b">
        <x:v>0</x:v>
      </x:c>
      <x:c r="K311" s="51" t="b">
        <x:v>0</x:v>
      </x:c>
      <x:c r="L311" s="51" t="b">
        <x:v>1</x:v>
      </x:c>
      <x:c r="M311" s="51" t="b">
        <x:v>0</x:v>
      </x:c>
      <x:c r="N311" s="51" t="b">
        <x:v>0</x:v>
      </x:c>
    </x:row>
    <x:row r="312">
      <x:c r="A312" t="str">
        <x:v>MARUTI</x:v>
      </x:c>
      <x:c r="B312" s="52" t="n">
        <x:v>44096</x:v>
      </x:c>
      <x:c r="C312" s="53" t="n">
        <x:v>6440.55</x:v>
      </x:c>
      <x:c r="D312" s="46" t="n">
        <x:v>0.0941456863156096</x:v>
      </x:c>
      <x:c r="E312" s="46" t="n">
        <x:v>0.0941456863156096</x:v>
      </x:c>
      <x:c r="F312" t="n">
        <x:v>10</x:v>
      </x:c>
      <x:c r="G312" s="51" t="b">
        <x:v>0</x:v>
      </x:c>
      <x:c r="H312" s="51" t="b">
        <x:v>0</x:v>
      </x:c>
      <x:c r="I312" s="51" t="b">
        <x:v>0</x:v>
      </x:c>
      <x:c r="J312" s="51" t="b">
        <x:v>0</x:v>
      </x:c>
      <x:c r="K312" s="51" t="b">
        <x:v>0</x:v>
      </x:c>
      <x:c r="L312" s="51" t="b">
        <x:v>1</x:v>
      </x:c>
      <x:c r="M312" s="51" t="b">
        <x:v>1</x:v>
      </x:c>
      <x:c r="N312" s="51" t="b">
        <x:v>0</x:v>
      </x:c>
    </x:row>
    <x:row r="313">
      <x:c r="A313" t="str">
        <x:v>MARUTI</x:v>
      </x:c>
      <x:c r="B313" s="52" t="n">
        <x:v>44153</x:v>
      </x:c>
      <x:c r="C313" s="53" t="n">
        <x:v>7054.3</x:v>
      </x:c>
      <x:c r="D313" s="46" t="n">
        <x:v>0.09707554257686812</x:v>
      </x:c>
      <x:c r="E313" s="46" t="n">
        <x:v>0.09707554257686812</x:v>
      </x:c>
      <x:c r="F313" t="n">
        <x:v>10</x:v>
      </x:c>
      <x:c r="G313" s="51" t="b">
        <x:v>0</x:v>
      </x:c>
      <x:c r="H313" s="51" t="b">
        <x:v>0</x:v>
      </x:c>
      <x:c r="I313" s="51" t="b">
        <x:v>0</x:v>
      </x:c>
      <x:c r="J313" s="51" t="b">
        <x:v>0</x:v>
      </x:c>
      <x:c r="K313" s="51" t="b">
        <x:v>0</x:v>
      </x:c>
      <x:c r="L313" s="51" t="b">
        <x:v>0</x:v>
      </x:c>
      <x:c r="M313" s="51" t="b">
        <x:v>1</x:v>
      </x:c>
      <x:c r="N313" s="51" t="b">
        <x:v>1</x:v>
      </x:c>
    </x:row>
    <x:row r="314">
      <x:c r="A314" t="str">
        <x:v>MARUTI</x:v>
      </x:c>
      <x:c r="B314" s="52" t="n">
        <x:v>44193</x:v>
      </x:c>
      <x:c r="C314" s="53" t="n">
        <x:v>7483</x:v>
      </x:c>
      <x:c r="D314" s="46" t="n">
        <x:v>0.10019377255111594</x:v>
      </x:c>
      <x:c r="E314" s="46" t="n">
        <x:v>0.10019377255111594</x:v>
      </x:c>
      <x:c r="F314" t="n">
        <x:v>10</x:v>
      </x:c>
      <x:c r="G314" s="51" t="b">
        <x:v>0</x:v>
      </x:c>
      <x:c r="H314" s="51" t="b">
        <x:v>0</x:v>
      </x:c>
      <x:c r="I314" s="51" t="b">
        <x:v>0</x:v>
      </x:c>
      <x:c r="J314" s="51" t="b">
        <x:v>0</x:v>
      </x:c>
      <x:c r="K314" s="51" t="b">
        <x:v>0</x:v>
      </x:c>
      <x:c r="L314" s="51" t="b">
        <x:v>0</x:v>
      </x:c>
      <x:c r="M314" s="51" t="b">
        <x:v>1</x:v>
      </x:c>
      <x:c r="N314" s="51" t="b">
        <x:v>0</x:v>
      </x:c>
    </x:row>
    <x:row r="315">
      <x:c r="A315" t="str">
        <x:v>MARUTI</x:v>
      </x:c>
      <x:c r="B315" s="52" t="n">
        <x:v>44203</x:v>
      </x:c>
      <x:c r="C315" s="53" t="n">
        <x:v>7566.05</x:v>
      </x:c>
      <x:c r="D315" s="46" t="n">
        <x:v>0.08811731352555152</x:v>
      </x:c>
      <x:c r="E315" s="46" t="n">
        <x:v>0.06749889308159474</x:v>
      </x:c>
      <x:c r="F315" t="n">
        <x:v>2</x:v>
      </x:c>
      <x:c r="G315" s="51" t="b">
        <x:v>0</x:v>
      </x:c>
      <x:c r="H315" s="51" t="b">
        <x:v>0</x:v>
      </x:c>
      <x:c r="I315" s="51" t="b">
        <x:v>0</x:v>
      </x:c>
      <x:c r="J315" s="51" t="b">
        <x:v>0</x:v>
      </x:c>
      <x:c r="K315" s="51" t="b">
        <x:v>0</x:v>
      </x:c>
      <x:c r="L315" s="51" t="b">
        <x:v>1</x:v>
      </x:c>
      <x:c r="M315" s="51" t="b">
        <x:v>1</x:v>
      </x:c>
      <x:c r="N315" s="51" t="b">
        <x:v>0</x:v>
      </x:c>
    </x:row>
    <x:row r="316">
      <x:c r="A316" t="str">
        <x:v>MARUTI</x:v>
      </x:c>
      <x:c r="B316" s="52" t="n">
        <x:v>44364</x:v>
      </x:c>
      <x:c r="C316" s="53" t="n">
        <x:v>6969.35</x:v>
      </x:c>
      <x:c r="D316" s="46" t="n">
        <x:v>0.09751985479277114</x:v>
      </x:c>
      <x:c r="E316" s="46" t="n">
        <x:v>0.0882506976977766</x:v>
      </x:c>
      <x:c r="F316" t="n">
        <x:v>5</x:v>
      </x:c>
      <x:c r="G316" s="51" t="b">
        <x:v>0</x:v>
      </x:c>
      <x:c r="H316" s="51" t="b">
        <x:v>0</x:v>
      </x:c>
      <x:c r="I316" s="51" t="b">
        <x:v>0</x:v>
      </x:c>
      <x:c r="J316" s="51" t="b">
        <x:v>0</x:v>
      </x:c>
      <x:c r="K316" s="51" t="b">
        <x:v>0</x:v>
      </x:c>
      <x:c r="L316" s="51" t="b">
        <x:v>1</x:v>
      </x:c>
      <x:c r="M316" s="51" t="b">
        <x:v>1</x:v>
      </x:c>
      <x:c r="N316" s="51" t="b">
        <x:v>1</x:v>
      </x:c>
    </x:row>
    <x:row r="317">
      <x:c r="A317" t="str">
        <x:v>MARUTI</x:v>
      </x:c>
      <x:c r="B317" s="52" t="n">
        <x:v>44460</x:v>
      </x:c>
      <x:c r="C317" s="53" t="n">
        <x:v>6777</x:v>
      </x:c>
      <x:c r="D317" s="46" t="n">
        <x:v>0.09544783827652359</x:v>
      </x:c>
      <x:c r="E317" s="46" t="n">
        <x:v>0.07101224730706801</x:v>
      </x:c>
      <x:c r="F317" t="n">
        <x:v>4</x:v>
      </x:c>
      <x:c r="G317" s="51" t="b">
        <x:v>0</x:v>
      </x:c>
      <x:c r="H317" s="51" t="b">
        <x:v>0</x:v>
      </x:c>
      <x:c r="I317" s="51" t="b">
        <x:v>0</x:v>
      </x:c>
      <x:c r="J317" s="51" t="b">
        <x:v>0</x:v>
      </x:c>
      <x:c r="K317" s="51" t="b">
        <x:v>0</x:v>
      </x:c>
      <x:c r="L317" s="51" t="b">
        <x:v>1</x:v>
      </x:c>
      <x:c r="M317" s="51" t="b">
        <x:v>1</x:v>
      </x:c>
      <x:c r="N317" s="51" t="b">
        <x:v>1</x:v>
      </x:c>
    </x:row>
    <x:row r="318">
      <x:c r="A318" t="str">
        <x:v>MARUTI</x:v>
      </x:c>
      <x:c r="B318" s="52" t="n">
        <x:v>44509</x:v>
      </x:c>
      <x:c r="C318" s="53" t="n">
        <x:v>7577.55</x:v>
      </x:c>
      <x:c r="D318" s="46" t="n">
        <x:v>0.09200863075796262</x:v>
      </x:c>
      <x:c r="E318" s="46" t="n">
        <x:v>0.012127930531636189</x:v>
      </x:c>
      <x:c r="F318" t="n">
        <x:v>6</x:v>
      </x:c>
      <x:c r="G318" s="51" t="b">
        <x:v>0</x:v>
      </x:c>
      <x:c r="H318" s="51" t="b">
        <x:v>0</x:v>
      </x:c>
      <x:c r="I318" s="51" t="b">
        <x:v>0</x:v>
      </x:c>
      <x:c r="J318" s="51" t="b">
        <x:v>0</x:v>
      </x:c>
      <x:c r="K318" s="51" t="b">
        <x:v>1</x:v>
      </x:c>
      <x:c r="L318" s="51" t="b">
        <x:v>0</x:v>
      </x:c>
      <x:c r="M318" s="51" t="b">
        <x:v>1</x:v>
      </x:c>
      <x:c r="N318" s="51" t="b">
        <x:v>1</x:v>
      </x:c>
    </x:row>
    <x:row r="319">
      <x:c r="A319" t="str">
        <x:v>MARUTI</x:v>
      </x:c>
      <x:c r="B319" s="52" t="n">
        <x:v>44554</x:v>
      </x:c>
      <x:c r="C319" s="53" t="n">
        <x:v>7317.1</x:v>
      </x:c>
      <x:c r="D319" s="46" t="n">
        <x:v>0.08048270489674869</x:v>
      </x:c>
      <x:c r="E319" s="46" t="n">
        <x:v>0.08048270489674869</x:v>
      </x:c>
      <x:c r="F319" t="n">
        <x:v>10</x:v>
      </x:c>
      <x:c r="G319" s="51" t="b">
        <x:v>0</x:v>
      </x:c>
      <x:c r="H319" s="51" t="b">
        <x:v>0</x:v>
      </x:c>
      <x:c r="I319" s="51" t="b">
        <x:v>0</x:v>
      </x:c>
      <x:c r="J319" s="51" t="b">
        <x:v>0</x:v>
      </x:c>
      <x:c r="K319" s="51" t="b">
        <x:v>1</x:v>
      </x:c>
      <x:c r="L319" s="51" t="b">
        <x:v>0</x:v>
      </x:c>
      <x:c r="M319" s="51" t="b">
        <x:v>1</x:v>
      </x:c>
      <x:c r="N319" s="51" t="b">
        <x:v>1</x:v>
      </x:c>
    </x:row>
    <x:row r="320">
      <x:c r="A320" t="str">
        <x:v>MARUTI</x:v>
      </x:c>
      <x:c r="B320" s="52" t="n">
        <x:v>44574</x:v>
      </x:c>
      <x:c r="C320" s="53" t="n">
        <x:v>8077.05</x:v>
      </x:c>
      <x:c r="D320" s="46" t="n">
        <x:v>0.09200760178530532</x:v>
      </x:c>
      <x:c r="E320" s="46" t="n">
        <x:v>0.05867241133829815</x:v>
      </x:c>
      <x:c r="F320" t="n">
        <x:v>9</x:v>
      </x:c>
      <x:c r="G320" s="51" t="b">
        <x:v>0</x:v>
      </x:c>
      <x:c r="H320" s="51" t="b">
        <x:v>0</x:v>
      </x:c>
      <x:c r="I320" s="51" t="b">
        <x:v>0</x:v>
      </x:c>
      <x:c r="J320" s="51" t="b">
        <x:v>0</x:v>
      </x:c>
      <x:c r="K320" s="51" t="b">
        <x:v>0</x:v>
      </x:c>
      <x:c r="L320" s="51" t="b">
        <x:v>1</x:v>
      </x:c>
      <x:c r="M320" s="51" t="b">
        <x:v>1</x:v>
      </x:c>
      <x:c r="N320" s="51" t="b">
        <x:v>1</x:v>
      </x:c>
    </x:row>
    <x:row r="321">
      <x:c r="A321" t="str">
        <x:v>MARUTI</x:v>
      </x:c>
      <x:c r="B321" s="52" t="n">
        <x:v>44627</x:v>
      </x:c>
      <x:c r="C321" s="53" t="n">
        <x:v>6769.05</x:v>
      </x:c>
      <x:c r="D321" s="46" t="n">
        <x:v>0.14737666289952056</x:v>
      </x:c>
      <x:c r="E321" s="46" t="n">
        <x:v>0.14737666289952056</x:v>
      </x:c>
      <x:c r="F321" t="n">
        <x:v>5</x:v>
      </x:c>
      <x:c r="G321" s="51" t="b">
        <x:v>0</x:v>
      </x:c>
      <x:c r="H321" s="51" t="b">
        <x:v>0</x:v>
      </x:c>
      <x:c r="I321" s="51" t="b">
        <x:v>0</x:v>
      </x:c>
      <x:c r="J321" s="51" t="b">
        <x:v>0</x:v>
      </x:c>
      <x:c r="K321" s="51" t="b">
        <x:v>0</x:v>
      </x:c>
      <x:c r="L321" s="51" t="b">
        <x:v>1</x:v>
      </x:c>
      <x:c r="M321" s="51" t="b">
        <x:v>0</x:v>
      </x:c>
      <x:c r="N321" s="51" t="b">
        <x:v>0</x:v>
      </x:c>
    </x:row>
    <x:row r="322">
      <x:c r="A322" t="str">
        <x:v>MARUTI</x:v>
      </x:c>
      <x:c r="B322" s="52" t="n">
        <x:v>44693</x:v>
      </x:c>
      <x:c r="C322" s="53" t="n">
        <x:v>7253.65</x:v>
      </x:c>
      <x:c r="D322" s="46" t="n">
        <x:v>0.08875531628904065</x:v>
      </x:c>
      <x:c r="E322" s="46" t="n">
        <x:v>0.07601000875421349</x:v>
      </x:c>
      <x:c r="F322" t="n">
        <x:v>7</x:v>
      </x:c>
      <x:c r="G322" s="51" t="b">
        <x:v>0</x:v>
      </x:c>
      <x:c r="H322" s="51" t="b">
        <x:v>0</x:v>
      </x:c>
      <x:c r="I322" s="51" t="b">
        <x:v>0</x:v>
      </x:c>
      <x:c r="J322" s="51" t="b">
        <x:v>0</x:v>
      </x:c>
      <x:c r="K322" s="51" t="b">
        <x:v>0</x:v>
      </x:c>
      <x:c r="L322" s="51" t="b">
        <x:v>1</x:v>
      </x:c>
      <x:c r="M322" s="51" t="b">
        <x:v>0</x:v>
      </x:c>
      <x:c r="N322" s="51" t="b">
        <x:v>0</x:v>
      </x:c>
    </x:row>
    <x:row r="323">
      <x:c r="A323" t="str">
        <x:v>MARUTI</x:v>
      </x:c>
      <x:c r="B323" s="52" t="n">
        <x:v>44726</x:v>
      </x:c>
      <x:c r="C323" s="53" t="n">
        <x:v>7811.65</x:v>
      </x:c>
      <x:c r="D323" s="46" t="n">
        <x:v>0.08679984382300798</x:v>
      </x:c>
      <x:c r="E323" s="46" t="n">
        <x:v>0.08679984382300798</x:v>
      </x:c>
      <x:c r="F323" t="n">
        <x:v>9</x:v>
      </x:c>
      <x:c r="G323" s="51" t="b">
        <x:v>0</x:v>
      </x:c>
      <x:c r="H323" s="51" t="b">
        <x:v>0</x:v>
      </x:c>
      <x:c r="I323" s="51" t="b">
        <x:v>0</x:v>
      </x:c>
      <x:c r="J323" s="51" t="b">
        <x:v>0</x:v>
      </x:c>
      <x:c r="K323" s="51" t="b">
        <x:v>1</x:v>
      </x:c>
      <x:c r="L323" s="51" t="b">
        <x:v>1</x:v>
      </x:c>
      <x:c r="M323" s="51" t="b">
        <x:v>0</x:v>
      </x:c>
      <x:c r="N323" s="51" t="b">
        <x:v>0</x:v>
      </x:c>
    </x:row>
    <x:row r="324">
      <x:c r="A324" t="str">
        <x:v>MARUTI</x:v>
      </x:c>
      <x:c r="B324" s="52" t="n">
        <x:v>44847</x:v>
      </x:c>
      <x:c r="C324" s="53" t="n">
        <x:v>8649.55</x:v>
      </x:c>
      <x:c r="D324" s="46" t="n">
        <x:v>0.09746171766161238</x:v>
      </x:c>
      <x:c r="E324" s="46" t="n">
        <x:v>0.09746171766161238</x:v>
      </x:c>
      <x:c r="F324" t="n">
        <x:v>10</x:v>
      </x:c>
      <x:c r="G324" s="51" t="b">
        <x:v>0</x:v>
      </x:c>
      <x:c r="H324" s="51" t="b">
        <x:v>0</x:v>
      </x:c>
      <x:c r="I324" s="51" t="b">
        <x:v>0</x:v>
      </x:c>
      <x:c r="J324" s="51" t="b">
        <x:v>0</x:v>
      </x:c>
      <x:c r="K324" s="51" t="b">
        <x:v>0</x:v>
      </x:c>
      <x:c r="L324" s="51" t="b">
        <x:v>0</x:v>
      </x:c>
      <x:c r="M324" s="51" t="b">
        <x:v>0</x:v>
      </x:c>
      <x:c r="N324" s="51" t="b">
        <x:v>0</x:v>
      </x:c>
    </x:row>
    <x:row r="325">
      <x:c r="A325" t="str">
        <x:v>MARUTI</x:v>
      </x:c>
      <x:c r="B325" s="52" t="n">
        <x:v>45041</x:v>
      </x:c>
      <x:c r="C325" s="53" t="n">
        <x:v>8468.9</x:v>
      </x:c>
      <x:c r="D325" s="46" t="n">
        <x:v>0.08256680324481347</x:v>
      </x:c>
      <x:c r="E325" s="46" t="n">
        <x:v>0.08256680324481347</x:v>
      </x:c>
      <x:c r="F325" t="n">
        <x:v>10</x:v>
      </x:c>
      <x:c r="G325" s="51" t="b">
        <x:v>1</x:v>
      </x:c>
      <x:c r="H325" s="51" t="b">
        <x:v>1</x:v>
      </x:c>
      <x:c r="I325" s="51" t="b">
        <x:v>1</x:v>
      </x:c>
      <x:c r="J325" s="51" t="b">
        <x:v>1</x:v>
      </x:c>
      <x:c r="K325" s="51" t="b">
        <x:v>0</x:v>
      </x:c>
      <x:c r="L325" s="51" t="b">
        <x:v>1</x:v>
      </x:c>
      <x:c r="M325" s="51" t="b">
        <x:v>0</x:v>
      </x:c>
      <x:c r="N325" s="51" t="b">
        <x:v>1</x:v>
      </x:c>
    </x:row>
    <x:row r="326">
      <x:c r="A326" t="str">
        <x:v>MARUTI</x:v>
      </x:c>
      <x:c r="B326" s="52" t="n">
        <x:v>45156</x:v>
      </x:c>
      <x:c r="C326" s="53" t="n">
        <x:v>9456.05</x:v>
      </x:c>
      <x:c r="D326" s="46" t="n">
        <x:v>0.09255450214413008</x:v>
      </x:c>
      <x:c r="E326" s="46" t="n">
        <x:v>0.09255450214413008</x:v>
      </x:c>
      <x:c r="F326" t="n">
        <x:v>10</x:v>
      </x:c>
      <x:c r="G326" s="51" t="b">
        <x:v>0</x:v>
      </x:c>
      <x:c r="H326" s="51" t="b">
        <x:v>0</x:v>
      </x:c>
      <x:c r="I326" s="51" t="b">
        <x:v>0</x:v>
      </x:c>
      <x:c r="J326" s="51" t="b">
        <x:v>0</x:v>
      </x:c>
      <x:c r="K326" s="51" t="b">
        <x:v>0</x:v>
      </x:c>
      <x:c r="L326" s="51" t="b">
        <x:v>0</x:v>
      </x:c>
      <x:c r="M326" s="51" t="b">
        <x:v>0</x:v>
      </x:c>
      <x:c r="N326" s="51" t="b">
        <x:v>1</x:v>
      </x:c>
    </x:row>
    <x:row r="327">
      <x:c r="A327" t="str">
        <x:v>MARUTI</x:v>
      </x:c>
      <x:c r="B327" s="52" t="n">
        <x:v>45311</x:v>
      </x:c>
      <x:c r="C327" s="53" t="n">
        <x:v>9972.55</x:v>
      </x:c>
      <x:c r="D327" s="46" t="n">
        <x:v>0.08747010543943134</x:v>
      </x:c>
      <x:c r="E327" s="46" t="n">
        <x:v>0.08747010543943134</x:v>
      </x:c>
      <x:c r="F327" t="n">
        <x:v>10</x:v>
      </x:c>
      <x:c r="G327" s="51" t="b">
        <x:v>0</x:v>
      </x:c>
      <x:c r="H327" s="51" t="b">
        <x:v>0</x:v>
      </x:c>
      <x:c r="I327" s="51" t="b">
        <x:v>0</x:v>
      </x:c>
      <x:c r="J327" s="51" t="b">
        <x:v>0</x:v>
      </x:c>
      <x:c r="K327" s="51" t="b">
        <x:v>0</x:v>
      </x:c>
      <x:c r="L327" s="51" t="b">
        <x:v>0</x:v>
      </x:c>
      <x:c r="M327" s="51" t="b">
        <x:v>0</x:v>
      </x:c>
      <x:c r="N327" s="51" t="b">
        <x:v>1</x:v>
      </x:c>
    </x:row>
    <x:row r="328">
      <x:c r="A328" t="str">
        <x:v>MARUTI</x:v>
      </x:c>
      <x:c r="B328" s="52" t="n">
        <x:v>45362</x:v>
      </x:c>
      <x:c r="C328" s="53" t="n">
        <x:v>11395.55</x:v>
      </x:c>
      <x:c r="D328" s="46" t="n">
        <x:v>0.08267700988543791</x:v>
      </x:c>
      <x:c r="E328" s="46" t="n">
        <x:v>0.07502928774828765</x:v>
      </x:c>
      <x:c r="F328" t="n">
        <x:v>9</x:v>
      </x:c>
      <x:c r="G328" s="51" t="b">
        <x:v>0</x:v>
      </x:c>
      <x:c r="H328" s="51" t="b">
        <x:v>0</x:v>
      </x:c>
      <x:c r="I328" s="51" t="b">
        <x:v>0</x:v>
      </x:c>
      <x:c r="J328" s="51" t="b">
        <x:v>0</x:v>
      </x:c>
      <x:c r="K328" s="51" t="b">
        <x:v>1</x:v>
      </x:c>
      <x:c r="L328" s="51" t="b">
        <x:v>1</x:v>
      </x:c>
      <x:c r="M328" s="51" t="b">
        <x:v>0</x:v>
      </x:c>
      <x:c r="N328" s="51" t="b">
        <x:v>1</x:v>
      </x:c>
    </x:row>
    <x:row r="329">
      <x:c r="A329" t="str">
        <x:v>MARUTI</x:v>
      </x:c>
      <x:c r="B329" s="52" t="n">
        <x:v>45548</x:v>
      </x:c>
      <x:c r="C329" s="53" t="n">
        <x:v>12316.05</x:v>
      </x:c>
      <x:c r="D329" s="46" t="n">
        <x:v>0.0957734013746292</x:v>
      </x:c>
      <x:c r="E329" s="46" t="n">
        <x:v>0.0957734013746292</x:v>
      </x:c>
      <x:c r="F329" t="n">
        <x:v>9</x:v>
      </x:c>
      <x:c r="G329" s="51" t="b">
        <x:v>0</x:v>
      </x:c>
      <x:c r="H329" s="51" t="b">
        <x:v>0</x:v>
      </x:c>
      <x:c r="I329" s="51" t="b">
        <x:v>1</x:v>
      </x:c>
      <x:c r="J329" s="51" t="b">
        <x:v>0</x:v>
      </x:c>
      <x:c r="K329" s="51" t="b">
        <x:v>0</x:v>
      </x:c>
      <x:c r="L329" s="51" t="b">
        <x:v>0</x:v>
      </x:c>
      <x:c r="M329" s="51" t="b">
        <x:v>0</x:v>
      </x:c>
      <x:c r="N329" s="51" t="b">
        <x:v>0</x:v>
      </x:c>
    </x:row>
    <x:row r="330">
      <x:c r="A330" t="str">
        <x:v>MARUTI</x:v>
      </x:c>
      <x:c r="B330" s="52" t="n">
        <x:v>45645</x:v>
      </x:c>
      <x:c r="C330" s="53" t="n">
        <x:v>10955.35</x:v>
      </x:c>
      <x:c r="D330" s="46" t="n">
        <x:v>0.08935360349053201</x:v>
      </x:c>
      <x:c r="E330" s="46" t="n">
        <x:v>0.08935360349053201</x:v>
      </x:c>
      <x:c r="F330" t="n">
        <x:v>9</x:v>
      </x:c>
      <x:c r="G330" s="51" t="b">
        <x:v>0</x:v>
      </x:c>
      <x:c r="H330" s="51" t="b">
        <x:v>0</x:v>
      </x:c>
      <x:c r="I330" s="51" t="b">
        <x:v>0</x:v>
      </x:c>
      <x:c r="J330" s="51" t="b">
        <x:v>0</x:v>
      </x:c>
      <x:c r="K330" s="51" t="b">
        <x:v>0</x:v>
      </x:c>
      <x:c r="L330" s="51" t="b">
        <x:v>0</x:v>
      </x:c>
      <x:c r="M330" s="51" t="b">
        <x:v>0</x:v>
      </x:c>
      <x:c r="N330" s="51" t="b">
        <x:v>0</x:v>
      </x:c>
    </x:row>
    <x:row r="331">
      <x:c r="A331" t="str">
        <x:v>MARUTI</x:v>
      </x:c>
      <x:c r="B331" s="52" t="n">
        <x:v>45678</x:v>
      </x:c>
      <x:c r="C331" s="53" t="n">
        <x:v>11883.7</x:v>
      </x:c>
      <x:c r="D331" s="46" t="n">
        <x:v>0.10571202571589655</x:v>
      </x:c>
      <x:c r="E331" s="46" t="n">
        <x:v>0.10571202571589655</x:v>
      </x:c>
      <x:c r="F331" t="n">
        <x:v>9</x:v>
      </x:c>
      <x:c r="G331" s="51" t="b">
        <x:v>0</x:v>
      </x:c>
      <x:c r="H331" s="51" t="b">
        <x:v>0</x:v>
      </x:c>
      <x:c r="I331" s="51" t="b">
        <x:v>0</x:v>
      </x:c>
      <x:c r="J331" s="51" t="b">
        <x:v>0</x:v>
      </x:c>
      <x:c r="K331" s="51" t="b">
        <x:v>1</x:v>
      </x:c>
      <x:c r="L331" s="51" t="b">
        <x:v>0</x:v>
      </x:c>
      <x:c r="M331" s="51" t="b">
        <x:v>0</x:v>
      </x:c>
      <x:c r="N331" s="51" t="b">
        <x:v>0</x:v>
      </x:c>
    </x:row>
    <x:row r="332">
      <x:c r="A332" t="str">
        <x:v>MARUTI</x:v>
      </x:c>
      <x:c r="B332" s="52" t="n">
        <x:v>45870</x:v>
      </x:c>
      <x:c r="C332" s="53" t="n">
        <x:v>12302</x:v>
      </x:c>
      <x:c r="D332" s="46" t="n">
        <x:v>0.14355389367582516</x:v>
      </x:c>
      <x:c r="E332" s="46" t="n">
        <x:v>0.14355389367582516</x:v>
      </x:c>
      <x:c r="F332" t="n">
        <x:v>10</x:v>
      </x:c>
      <x:c r="G332" s="51" t="b">
        <x:v>0</x:v>
      </x:c>
      <x:c r="H332" s="51" t="b">
        <x:v>0</x:v>
      </x:c>
      <x:c r="I332" s="51" t="b">
        <x:v>0</x:v>
      </x:c>
      <x:c r="J332" s="51" t="b">
        <x:v>0</x:v>
      </x:c>
      <x:c r="K332" s="51" t="b">
        <x:v>0</x:v>
      </x:c>
      <x:c r="L332" s="51" t="b">
        <x:v>0</x:v>
      </x:c>
      <x:c r="M332" s="51" t="b">
        <x:v>0</x:v>
      </x:c>
      <x:c r="N332" s="51" t="b">
        <x:v>0</x:v>
      </x:c>
    </x:row>
    <x:row r="333">
      <x:c r="A333" t="str">
        <x:v>MARUTI</x:v>
      </x:c>
      <x:c r="B333" s="52" t="n">
        <x:v>46054</x:v>
      </x:c>
      <x:c r="C333" s="53" t="n">
        <x:v>14199</x:v>
      </x:c>
      <x:c r="D333" s="46" t="n">
        <x:v>0.08542855130643012</x:v>
      </x:c>
      <x:c r="E333" s="46" t="n">
        <x:v>0.07310373969997896</x:v>
      </x:c>
      <x:c r="F333" t="n">
        <x:v>8</x:v>
      </x:c>
      <x:c r="G333" s="51" t="b">
        <x:v>0</x:v>
      </x:c>
      <x:c r="H333" s="51" t="b">
        <x:v>0</x:v>
      </x:c>
      <x:c r="I333" s="51" t="b">
        <x:v>0</x:v>
      </x:c>
      <x:c r="J333" s="51" t="b">
        <x:v>0</x:v>
      </x:c>
      <x:c r="K333" s="51" t="b">
        <x:v>0</x:v>
      </x:c>
      <x:c r="L333" s="51" t="b">
        <x:v>0</x:v>
      </x:c>
      <x:c r="M333" s="51" t="b">
        <x:v>0</x:v>
      </x:c>
      <x:c r="N333" s="51" t="b">
        <x:v>0</x:v>
      </x:c>
    </x:row>
    <x:row r="334">
      <x:c r="A334" t="str">
        <x:v>MARUTI</x:v>
      </x:c>
      <x:c r="B334" s="52" t="n">
        <x:v>46104</x:v>
      </x:c>
      <x:c r="C334" s="53" t="n">
        <x:v>12355</x:v>
      </x:c>
      <x:c r="D334" s="46" t="n">
        <x:v>0.10093079724807774</x:v>
      </x:c>
      <x:c r="E334" s="46" t="n">
        <x:v>0.09987859166329427</x:v>
      </x:c>
      <x:c r="F334" t="n">
        <x:v>9</x:v>
      </x:c>
      <x:c r="G334" s="51" t="b">
        <x:v>0</x:v>
      </x:c>
      <x:c r="H334" s="51" t="b">
        <x:v>0</x:v>
      </x:c>
      <x:c r="I334" s="51" t="b">
        <x:v>0</x:v>
      </x:c>
      <x:c r="J334" s="51" t="b">
        <x:v>0</x:v>
      </x:c>
      <x:c r="K334" s="51" t="b">
        <x:v>0</x:v>
      </x:c>
      <x:c r="L334" s="51" t="b">
        <x:v>0</x:v>
      </x:c>
      <x:c r="M334" s="51" t="b">
        <x:v>0</x:v>
      </x:c>
      <x:c r="N334" s="51" t="b">
        <x:v>0</x:v>
      </x:c>
    </x:row>
    <x:row r="335">
      <x:c r="A335" t="str">
        <x:v>ONGC</x:v>
      </x:c>
      <x:c r="B335" s="52" t="n">
        <x:v>44428</x:v>
      </x:c>
      <x:c r="C335" s="53" t="n">
        <x:v>110.2</x:v>
      </x:c>
      <x:c r="D335" s="46" t="n">
        <x:v>0.11705989110707793</x:v>
      </x:c>
      <x:c r="E335" s="46" t="n">
        <x:v>0.11705989110707793</x:v>
      </x:c>
      <x:c r="F335" t="n">
        <x:v>6</x:v>
      </x:c>
      <x:c r="G335" s="51" t="b">
        <x:v>0</x:v>
      </x:c>
      <x:c r="H335" s="51" t="b">
        <x:v>0</x:v>
      </x:c>
      <x:c r="I335" s="51" t="b">
        <x:v>0</x:v>
      </x:c>
      <x:c r="J335" s="51" t="b">
        <x:v>0</x:v>
      </x:c>
      <x:c r="K335" s="51" t="b">
        <x:v>0</x:v>
      </x:c>
      <x:c r="L335" s="51" t="b">
        <x:v>0</x:v>
      </x:c>
      <x:c r="M335" s="51" t="b">
        <x:v>1</x:v>
      </x:c>
      <x:c r="N335" s="51" t="b">
        <x:v>1</x:v>
      </x:c>
    </x:row>
    <x:row r="336">
      <x:c r="A336" t="str">
        <x:v>ONGC</x:v>
      </x:c>
      <x:c r="B336" s="52" t="n">
        <x:v>44441</x:v>
      </x:c>
      <x:c r="C336" s="53" t="n">
        <x:v>118.65</x:v>
      </x:c>
      <x:c r="D336" s="46" t="n">
        <x:v>0.08470290771175715</x:v>
      </x:c>
      <x:c r="E336" s="46" t="n">
        <x:v>0.07669616519174038</x:v>
      </x:c>
      <x:c r="F336" t="n">
        <x:v>8</x:v>
      </x:c>
      <x:c r="G336" s="51" t="b">
        <x:v>0</x:v>
      </x:c>
      <x:c r="H336" s="51" t="b">
        <x:v>0</x:v>
      </x:c>
      <x:c r="I336" s="51" t="b">
        <x:v>0</x:v>
      </x:c>
      <x:c r="J336" s="51" t="b">
        <x:v>0</x:v>
      </x:c>
      <x:c r="K336" s="51" t="b">
        <x:v>0</x:v>
      </x:c>
      <x:c r="L336" s="51" t="b">
        <x:v>1</x:v>
      </x:c>
      <x:c r="M336" s="51" t="b">
        <x:v>1</x:v>
      </x:c>
      <x:c r="N336" s="51" t="b">
        <x:v>1</x:v>
      </x:c>
    </x:row>
    <x:row r="337">
      <x:c r="A337" t="str">
        <x:v>ONGC</x:v>
      </x:c>
      <x:c r="B337" s="52" t="n">
        <x:v>44551</x:v>
      </x:c>
      <x:c r="C337" s="53" t="n">
        <x:v>136.05</x:v>
      </x:c>
      <x:c r="D337" s="46" t="n">
        <x:v>0.08636530687247346</x:v>
      </x:c>
      <x:c r="E337" s="46" t="n">
        <x:v>0.08636530687247346</x:v>
      </x:c>
      <x:c r="F337" t="n">
        <x:v>10</x:v>
      </x:c>
      <x:c r="G337" s="51" t="b">
        <x:v>0</x:v>
      </x:c>
      <x:c r="H337" s="51" t="b">
        <x:v>0</x:v>
      </x:c>
      <x:c r="I337" s="51" t="b">
        <x:v>0</x:v>
      </x:c>
      <x:c r="J337" s="51" t="b">
        <x:v>0</x:v>
      </x:c>
      <x:c r="K337" s="51" t="b">
        <x:v>0</x:v>
      </x:c>
      <x:c r="L337" s="51" t="b">
        <x:v>0</x:v>
      </x:c>
      <x:c r="M337" s="51" t="b">
        <x:v>1</x:v>
      </x:c>
      <x:c r="N337" s="51" t="b">
        <x:v>1</x:v>
      </x:c>
    </x:row>
    <x:row r="338">
      <x:c r="A338" t="str">
        <x:v>ONGC</x:v>
      </x:c>
      <x:c r="B338" s="52" t="n">
        <x:v>44610</x:v>
      </x:c>
      <x:c r="C338" s="53" t="n">
        <x:v>167.9</x:v>
      </x:c>
      <x:c r="D338" s="46" t="n">
        <x:v>0.11346039309112554</x:v>
      </x:c>
      <x:c r="E338" s="46" t="n">
        <x:v>0.11346039309112554</x:v>
      </x:c>
      <x:c r="F338" t="n">
        <x:v>10</x:v>
      </x:c>
      <x:c r="G338" s="51" t="b">
        <x:v>0</x:v>
      </x:c>
      <x:c r="H338" s="51" t="b">
        <x:v>0</x:v>
      </x:c>
      <x:c r="I338" s="51" t="b">
        <x:v>0</x:v>
      </x:c>
      <x:c r="J338" s="51" t="b">
        <x:v>0</x:v>
      </x:c>
      <x:c r="K338" s="51" t="b">
        <x:v>0</x:v>
      </x:c>
      <x:c r="L338" s="51" t="b">
        <x:v>0</x:v>
      </x:c>
      <x:c r="M338" s="51" t="b">
        <x:v>1</x:v>
      </x:c>
      <x:c r="N338" s="51" t="b">
        <x:v>0</x:v>
      </x:c>
    </x:row>
    <x:row r="339">
      <x:c r="A339" t="str">
        <x:v>ONGC</x:v>
      </x:c>
      <x:c r="B339" s="52" t="n">
        <x:v>44635</x:v>
      </x:c>
      <x:c r="C339" s="53" t="n">
        <x:v>163.75</x:v>
      </x:c>
      <x:c r="D339" s="46" t="n">
        <x:v>0.0836641221374046</x:v>
      </x:c>
      <x:c r="E339" s="46" t="n">
        <x:v>-0.010687022900763399</x:v>
      </x:c>
      <x:c r="F339" t="n">
        <x:v>6</x:v>
      </x:c>
      <x:c r="G339" s="51" t="b">
        <x:v>0</x:v>
      </x:c>
      <x:c r="H339" s="51" t="b">
        <x:v>0</x:v>
      </x:c>
      <x:c r="I339" s="51" t="b">
        <x:v>0</x:v>
      </x:c>
      <x:c r="J339" s="51" t="b">
        <x:v>0</x:v>
      </x:c>
      <x:c r="K339" s="51" t="b">
        <x:v>0</x:v>
      </x:c>
      <x:c r="L339" s="51" t="b">
        <x:v>1</x:v>
      </x:c>
      <x:c r="M339" s="51" t="b">
        <x:v>0</x:v>
      </x:c>
      <x:c r="N339" s="51" t="b">
        <x:v>0</x:v>
      </x:c>
    </x:row>
    <x:row r="340">
      <x:c r="A340" t="str">
        <x:v>ONGC</x:v>
      </x:c>
      <x:c r="B340" s="52" t="n">
        <x:v>44707</x:v>
      </x:c>
      <x:c r="C340" s="53" t="n">
        <x:v>151.9</x:v>
      </x:c>
      <x:c r="D340" s="46" t="n">
        <x:v>0.08986175115207384</x:v>
      </x:c>
      <x:c r="E340" s="46" t="n">
        <x:v>0.08986175115207384</x:v>
      </x:c>
      <x:c r="F340" t="n">
        <x:v>10</x:v>
      </x:c>
      <x:c r="G340" s="51" t="b">
        <x:v>0</x:v>
      </x:c>
      <x:c r="H340" s="51" t="b">
        <x:v>0</x:v>
      </x:c>
      <x:c r="I340" s="51" t="b">
        <x:v>0</x:v>
      </x:c>
      <x:c r="J340" s="51" t="b">
        <x:v>0</x:v>
      </x:c>
      <x:c r="K340" s="51" t="b">
        <x:v>0</x:v>
      </x:c>
      <x:c r="L340" s="51" t="b">
        <x:v>0</x:v>
      </x:c>
      <x:c r="M340" s="51" t="b">
        <x:v>0</x:v>
      </x:c>
      <x:c r="N340" s="51" t="b">
        <x:v>0</x:v>
      </x:c>
    </x:row>
    <x:row r="341">
      <x:c r="A341" t="str">
        <x:v>ONGC</x:v>
      </x:c>
      <x:c r="B341" s="52" t="n">
        <x:v>44729</x:v>
      </x:c>
      <x:c r="C341" s="53" t="n">
        <x:v>141.45</x:v>
      </x:c>
      <x:c r="D341" s="46" t="n">
        <x:v>0.08978437610463064</x:v>
      </x:c>
      <x:c r="E341" s="46" t="n">
        <x:v>-0.07352421350300442</x:v>
      </x:c>
      <x:c r="F341" t="n">
        <x:v>8</x:v>
      </x:c>
      <x:c r="G341" s="51" t="b">
        <x:v>0</x:v>
      </x:c>
      <x:c r="H341" s="51" t="b">
        <x:v>0</x:v>
      </x:c>
      <x:c r="I341" s="51" t="b">
        <x:v>0</x:v>
      </x:c>
      <x:c r="J341" s="51" t="b">
        <x:v>0</x:v>
      </x:c>
      <x:c r="K341" s="51" t="b">
        <x:v>0</x:v>
      </x:c>
      <x:c r="L341" s="51" t="b">
        <x:v>1</x:v>
      </x:c>
      <x:c r="M341" s="51" t="b">
        <x:v>0</x:v>
      </x:c>
      <x:c r="N341" s="51" t="b">
        <x:v>0</x:v>
      </x:c>
    </x:row>
    <x:row r="342">
      <x:c r="A342" t="str">
        <x:v>ONGC</x:v>
      </x:c>
      <x:c r="B342" s="52" t="n">
        <x:v>44748</x:v>
      </x:c>
      <x:c r="C342" s="53" t="n">
        <x:v>120.95</x:v>
      </x:c>
      <x:c r="D342" s="46" t="n">
        <x:v>0.09590739975196372</x:v>
      </x:c>
      <x:c r="E342" s="46" t="n">
        <x:v>0.09590739975196372</x:v>
      </x:c>
      <x:c r="F342" t="n">
        <x:v>10</x:v>
      </x:c>
      <x:c r="G342" s="51" t="b">
        <x:v>0</x:v>
      </x:c>
      <x:c r="H342" s="51" t="b">
        <x:v>0</x:v>
      </x:c>
      <x:c r="I342" s="51" t="b">
        <x:v>1</x:v>
      </x:c>
      <x:c r="J342" s="51" t="b">
        <x:v>0</x:v>
      </x:c>
      <x:c r="K342" s="51" t="b">
        <x:v>0</x:v>
      </x:c>
      <x:c r="L342" s="51" t="b">
        <x:v>0</x:v>
      </x:c>
      <x:c r="M342" s="51" t="b">
        <x:v>0</x:v>
      </x:c>
      <x:c r="N342" s="51" t="b">
        <x:v>0</x:v>
      </x:c>
    </x:row>
    <x:row r="343">
      <x:c r="A343" t="str">
        <x:v>ONGC</x:v>
      </x:c>
      <x:c r="B343" s="52" t="n">
        <x:v>44761</x:v>
      </x:c>
      <x:c r="C343" s="53" t="n">
        <x:v>127.9</x:v>
      </x:c>
      <x:c r="D343" s="46" t="n">
        <x:v>0.0820953870211103</x:v>
      </x:c>
      <x:c r="E343" s="46" t="n">
        <x:v>0.06880375293197805</x:v>
      </x:c>
      <x:c r="F343" t="n">
        <x:v>9</x:v>
      </x:c>
      <x:c r="G343" s="51" t="b">
        <x:v>0</x:v>
      </x:c>
      <x:c r="H343" s="51" t="b">
        <x:v>0</x:v>
      </x:c>
      <x:c r="I343" s="51" t="b">
        <x:v>0</x:v>
      </x:c>
      <x:c r="J343" s="51" t="b">
        <x:v>0</x:v>
      </x:c>
      <x:c r="K343" s="51" t="b">
        <x:v>0</x:v>
      </x:c>
      <x:c r="L343" s="51" t="b">
        <x:v>0</x:v>
      </x:c>
      <x:c r="M343" s="51" t="b">
        <x:v>0</x:v>
      </x:c>
      <x:c r="N343" s="51" t="b">
        <x:v>1</x:v>
      </x:c>
    </x:row>
    <x:row r="344">
      <x:c r="A344" t="str">
        <x:v>ONGC</x:v>
      </x:c>
      <x:c r="B344" s="52" t="n">
        <x:v>44830</x:v>
      </x:c>
      <x:c r="C344" s="53" t="n">
        <x:v>123.45</x:v>
      </x:c>
      <x:c r="D344" s="46" t="n">
        <x:v>0.08586472255974087</x:v>
      </x:c>
      <x:c r="E344" s="46" t="n">
        <x:v>0.06196840826245431</x:v>
      </x:c>
      <x:c r="F344" t="n">
        <x:v>6</x:v>
      </x:c>
      <x:c r="G344" s="51" t="b">
        <x:v>0</x:v>
      </x:c>
      <x:c r="H344" s="51" t="b">
        <x:v>0</x:v>
      </x:c>
      <x:c r="I344" s="51" t="b">
        <x:v>0</x:v>
      </x:c>
      <x:c r="J344" s="51" t="b">
        <x:v>0</x:v>
      </x:c>
      <x:c r="K344" s="51" t="b">
        <x:v>0</x:v>
      </x:c>
      <x:c r="L344" s="51" t="b">
        <x:v>0</x:v>
      </x:c>
      <x:c r="M344" s="51" t="b">
        <x:v>0</x:v>
      </x:c>
      <x:c r="N344" s="51" t="b">
        <x:v>0</x:v>
      </x:c>
    </x:row>
    <x:row r="345">
      <x:c r="A345" t="str">
        <x:v>ONGC</x:v>
      </x:c>
      <x:c r="B345" s="52" t="n">
        <x:v>44959</x:v>
      </x:c>
      <x:c r="C345" s="53" t="n">
        <x:v>143.45</x:v>
      </x:c>
      <x:c r="D345" s="46" t="n">
        <x:v>0.0867898222377137</x:v>
      </x:c>
      <x:c r="E345" s="46" t="n">
        <x:v>0.0867898222377137</x:v>
      </x:c>
      <x:c r="F345" t="n">
        <x:v>10</x:v>
      </x:c>
      <x:c r="G345" s="51" t="b">
        <x:v>0</x:v>
      </x:c>
      <x:c r="H345" s="51" t="b">
        <x:v>0</x:v>
      </x:c>
      <x:c r="I345" s="51" t="b">
        <x:v>0</x:v>
      </x:c>
      <x:c r="J345" s="51" t="b">
        <x:v>0</x:v>
      </x:c>
      <x:c r="K345" s="51" t="b">
        <x:v>0</x:v>
      </x:c>
      <x:c r="L345" s="51" t="b">
        <x:v>0</x:v>
      </x:c>
      <x:c r="M345" s="51" t="b">
        <x:v>0</x:v>
      </x:c>
      <x:c r="N345" s="51" t="b">
        <x:v>1</x:v>
      </x:c>
    </x:row>
    <x:row r="346">
      <x:c r="A346" t="str">
        <x:v>ONGC</x:v>
      </x:c>
      <x:c r="B346" s="52" t="n">
        <x:v>45013</x:v>
      </x:c>
      <x:c r="C346" s="53" t="n">
        <x:v>147.2</x:v>
      </x:c>
      <x:c r="D346" s="46" t="n">
        <x:v>0.08797554347826098</x:v>
      </x:c>
      <x:c r="E346" s="46" t="n">
        <x:v>0.08797554347826098</x:v>
      </x:c>
      <x:c r="F346" t="n">
        <x:v>7</x:v>
      </x:c>
      <x:c r="G346" s="51" t="b">
        <x:v>0</x:v>
      </x:c>
      <x:c r="H346" s="51" t="b">
        <x:v>0</x:v>
      </x:c>
      <x:c r="I346" s="51" t="b">
        <x:v>0</x:v>
      </x:c>
      <x:c r="J346" s="51" t="b">
        <x:v>0</x:v>
      </x:c>
      <x:c r="K346" s="51" t="b">
        <x:v>0</x:v>
      </x:c>
      <x:c r="L346" s="51" t="b">
        <x:v>0</x:v>
      </x:c>
      <x:c r="M346" s="51" t="b">
        <x:v>0</x:v>
      </x:c>
      <x:c r="N346" s="51" t="b">
        <x:v>1</x:v>
      </x:c>
    </x:row>
    <x:row r="347">
      <x:c r="A347" t="str">
        <x:v>ONGC</x:v>
      </x:c>
      <x:c r="B347" s="52" t="n">
        <x:v>45232</x:v>
      </x:c>
      <x:c r="C347" s="53" t="n">
        <x:v>186.2</x:v>
      </x:c>
      <x:c r="D347" s="46" t="n">
        <x:v>0.08378088077336221</x:v>
      </x:c>
      <x:c r="E347" s="46" t="n">
        <x:v>0.08378088077336221</x:v>
      </x:c>
      <x:c r="F347" t="n">
        <x:v>10</x:v>
      </x:c>
      <x:c r="G347" s="51" t="b">
        <x:v>0</x:v>
      </x:c>
      <x:c r="H347" s="51" t="b">
        <x:v>0</x:v>
      </x:c>
      <x:c r="I347" s="51" t="b">
        <x:v>0</x:v>
      </x:c>
      <x:c r="J347" s="51" t="b">
        <x:v>0</x:v>
      </x:c>
      <x:c r="K347" s="51" t="b">
        <x:v>1</x:v>
      </x:c>
      <x:c r="L347" s="51" t="b">
        <x:v>1</x:v>
      </x:c>
      <x:c r="M347" s="51" t="b">
        <x:v>0</x:v>
      </x:c>
      <x:c r="N347" s="51" t="b">
        <x:v>1</x:v>
      </x:c>
    </x:row>
    <x:row r="348">
      <x:c r="A348" t="str">
        <x:v>ONGC</x:v>
      </x:c>
      <x:c r="B348" s="52" t="n">
        <x:v>45289</x:v>
      </x:c>
      <x:c r="C348" s="53" t="n">
        <x:v>205.05</x:v>
      </x:c>
      <x:c r="D348" s="46" t="n">
        <x:v>0.08949036820287737</x:v>
      </x:c>
      <x:c r="E348" s="46" t="n">
        <x:v>0.08949036820287737</x:v>
      </x:c>
      <x:c r="F348" t="n">
        <x:v>10</x:v>
      </x:c>
      <x:c r="G348" s="51" t="b">
        <x:v>0</x:v>
      </x:c>
      <x:c r="H348" s="51" t="b">
        <x:v>0</x:v>
      </x:c>
      <x:c r="I348" s="51" t="b">
        <x:v>1</x:v>
      </x:c>
      <x:c r="J348" s="51" t="b">
        <x:v>0</x:v>
      </x:c>
      <x:c r="K348" s="51" t="b">
        <x:v>0</x:v>
      </x:c>
      <x:c r="L348" s="51" t="b">
        <x:v>0</x:v>
      </x:c>
      <x:c r="M348" s="51" t="b">
        <x:v>0</x:v>
      </x:c>
      <x:c r="N348" s="51" t="b">
        <x:v>1</x:v>
      </x:c>
    </x:row>
    <x:row r="349">
      <x:c r="A349" t="str">
        <x:v>ONGC</x:v>
      </x:c>
      <x:c r="B349" s="52" t="n">
        <x:v>45447</x:v>
      </x:c>
      <x:c r="C349" s="53" t="n">
        <x:v>236.3</x:v>
      </x:c>
      <x:c r="D349" s="46" t="n">
        <x:v>0.17033432077867117</x:v>
      </x:c>
      <x:c r="E349" s="46" t="n">
        <x:v>0.14917477782479893</x:v>
      </x:c>
      <x:c r="F349" t="n">
        <x:v>3</x:v>
      </x:c>
      <x:c r="G349" s="51" t="b">
        <x:v>0</x:v>
      </x:c>
      <x:c r="H349" s="51" t="b">
        <x:v>0</x:v>
      </x:c>
      <x:c r="I349" s="51" t="b">
        <x:v>0</x:v>
      </x:c>
      <x:c r="J349" s="51" t="b">
        <x:v>0</x:v>
      </x:c>
      <x:c r="K349" s="51" t="b">
        <x:v>0</x:v>
      </x:c>
      <x:c r="L349" s="51" t="b">
        <x:v>0</x:v>
      </x:c>
      <x:c r="M349" s="51" t="b">
        <x:v>0</x:v>
      </x:c>
      <x:c r="N349" s="51" t="b">
        <x:v>0</x:v>
      </x:c>
    </x:row>
    <x:row r="350">
      <x:c r="A350" t="str">
        <x:v>ONGC</x:v>
      </x:c>
      <x:c r="B350" s="52" t="n">
        <x:v>45467</x:v>
      </x:c>
      <x:c r="C350" s="53" t="n">
        <x:v>269.9</x:v>
      </x:c>
      <x:c r="D350" s="46" t="n">
        <x:v>0.10837347165616906</x:v>
      </x:c>
      <x:c r="E350" s="46" t="n">
        <x:v>0.10837347165616906</x:v>
      </x:c>
      <x:c r="F350" t="n">
        <x:v>10</x:v>
      </x:c>
      <x:c r="G350" s="51" t="b">
        <x:v>0</x:v>
      </x:c>
      <x:c r="H350" s="51" t="b">
        <x:v>0</x:v>
      </x:c>
      <x:c r="I350" s="51" t="b">
        <x:v>0</x:v>
      </x:c>
      <x:c r="J350" s="51" t="b">
        <x:v>0</x:v>
      </x:c>
      <x:c r="K350" s="51" t="b">
        <x:v>0</x:v>
      </x:c>
      <x:c r="L350" s="51" t="b">
        <x:v>0</x:v>
      </x:c>
      <x:c r="M350" s="51" t="b">
        <x:v>0</x:v>
      </x:c>
      <x:c r="N350" s="51" t="b">
        <x:v>1</x:v>
      </x:c>
    </x:row>
    <x:row r="351">
      <x:c r="A351" t="str">
        <x:v>ONGC</x:v>
      </x:c>
      <x:c r="B351" s="52" t="n">
        <x:v>45496</x:v>
      </x:c>
      <x:c r="C351" s="53" t="n">
        <x:v>314.15</x:v>
      </x:c>
      <x:c r="D351" s="46" t="n">
        <x:v>0.08785611968804719</x:v>
      </x:c>
      <x:c r="E351" s="46" t="n">
        <x:v>-0.02562470157568031</x:v>
      </x:c>
      <x:c r="F351" t="n">
        <x:v>7</x:v>
      </x:c>
      <x:c r="G351" s="51" t="b">
        <x:v>0</x:v>
      </x:c>
      <x:c r="H351" s="51" t="b">
        <x:v>0</x:v>
      </x:c>
      <x:c r="I351" s="51" t="b">
        <x:v>0</x:v>
      </x:c>
      <x:c r="J351" s="51" t="b">
        <x:v>0</x:v>
      </x:c>
      <x:c r="K351" s="51" t="b">
        <x:v>0</x:v>
      </x:c>
      <x:c r="L351" s="51" t="b">
        <x:v>0</x:v>
      </x:c>
      <x:c r="M351" s="51" t="b">
        <x:v>0</x:v>
      </x:c>
      <x:c r="N351" s="51" t="b">
        <x:v>0</x:v>
      </x:c>
    </x:row>
    <x:row r="352">
      <x:c r="A352" t="str">
        <x:v>ONGC</x:v>
      </x:c>
      <x:c r="B352" s="52" t="n">
        <x:v>45509</x:v>
      </x:c>
      <x:c r="C352" s="53" t="n">
        <x:v>310.25</x:v>
      </x:c>
      <x:c r="D352" s="46" t="n">
        <x:v>0.10008058017727639</x:v>
      </x:c>
      <x:c r="E352" s="46" t="n">
        <x:v>0.06398066075745379</x:v>
      </x:c>
      <x:c r="F352" t="n">
        <x:v>5</x:v>
      </x:c>
      <x:c r="G352" s="51" t="b">
        <x:v>0</x:v>
      </x:c>
      <x:c r="H352" s="51" t="b">
        <x:v>0</x:v>
      </x:c>
      <x:c r="I352" s="51" t="b">
        <x:v>0</x:v>
      </x:c>
      <x:c r="J352" s="51" t="b">
        <x:v>0</x:v>
      </x:c>
      <x:c r="K352" s="51" t="b">
        <x:v>0</x:v>
      </x:c>
      <x:c r="L352" s="51" t="b">
        <x:v>0</x:v>
      </x:c>
      <x:c r="M352" s="51" t="b">
        <x:v>0</x:v>
      </x:c>
      <x:c r="N352" s="51" t="b">
        <x:v>0</x:v>
      </x:c>
    </x:row>
    <x:row r="353">
      <x:c r="A353" t="str">
        <x:v>ONGC</x:v>
      </x:c>
      <x:c r="B353" s="52" t="n">
        <x:v>45617</x:v>
      </x:c>
      <x:c r="C353" s="53" t="n">
        <x:v>242.15</x:v>
      </x:c>
      <x:c r="D353" s="46" t="n">
        <x:v>0.08341936816023132</x:v>
      </x:c>
      <x:c r="E353" s="46" t="n">
        <x:v>0.07908321288457576</x:v>
      </x:c>
      <x:c r="F353" t="n">
        <x:v>8</x:v>
      </x:c>
      <x:c r="G353" s="51" t="b">
        <x:v>0</x:v>
      </x:c>
      <x:c r="H353" s="51" t="b">
        <x:v>0</x:v>
      </x:c>
      <x:c r="I353" s="51" t="b">
        <x:v>0</x:v>
      </x:c>
      <x:c r="J353" s="51" t="b">
        <x:v>0</x:v>
      </x:c>
      <x:c r="K353" s="51" t="b">
        <x:v>0</x:v>
      </x:c>
      <x:c r="L353" s="51" t="b">
        <x:v>0</x:v>
      </x:c>
      <x:c r="M353" s="51" t="b">
        <x:v>0</x:v>
      </x:c>
      <x:c r="N353" s="51" t="b">
        <x:v>0</x:v>
      </x:c>
    </x:row>
    <x:row r="354">
      <x:c r="A354" t="str">
        <x:v>ONGC</x:v>
      </x:c>
      <x:c r="B354" s="52" t="n">
        <x:v>45646</x:v>
      </x:c>
      <x:c r="C354" s="53" t="n">
        <x:v>237.1</x:v>
      </x:c>
      <x:c r="D354" s="46" t="n">
        <x:v>0.09190215099114285</x:v>
      </x:c>
      <x:c r="E354" s="46" t="n">
        <x:v>0.07279628848587105</x:v>
      </x:c>
      <x:c r="F354" t="n">
        <x:v>9</x:v>
      </x:c>
      <x:c r="G354" s="51" t="b">
        <x:v>0</x:v>
      </x:c>
      <x:c r="H354" s="51" t="b">
        <x:v>0</x:v>
      </x:c>
      <x:c r="I354" s="51" t="b">
        <x:v>0</x:v>
      </x:c>
      <x:c r="J354" s="51" t="b">
        <x:v>0</x:v>
      </x:c>
      <x:c r="K354" s="51" t="b">
        <x:v>0</x:v>
      </x:c>
      <x:c r="L354" s="51" t="b">
        <x:v>1</x:v>
      </x:c>
      <x:c r="M354" s="51" t="b">
        <x:v>0</x:v>
      </x:c>
      <x:c r="N354" s="51" t="b">
        <x:v>0</x:v>
      </x:c>
    </x:row>
    <x:row r="355">
      <x:c r="A355" t="str">
        <x:v>ONGC</x:v>
      </x:c>
      <x:c r="B355" s="52" t="n">
        <x:v>45726</x:v>
      </x:c>
      <x:c r="C355" s="53" t="n">
        <x:v>223.19</x:v>
      </x:c>
      <x:c r="D355" s="46" t="n">
        <x:v>0.09247726152605407</x:v>
      </x:c>
      <x:c r="E355" s="46" t="n">
        <x:v>0.08539809131233489</x:v>
      </x:c>
      <x:c r="F355" t="n">
        <x:v>8</x:v>
      </x:c>
      <x:c r="G355" s="51" t="b">
        <x:v>0</x:v>
      </x:c>
      <x:c r="H355" s="51" t="b">
        <x:v>0</x:v>
      </x:c>
      <x:c r="I355" s="51" t="b">
        <x:v>0</x:v>
      </x:c>
      <x:c r="J355" s="51" t="b">
        <x:v>0</x:v>
      </x:c>
      <x:c r="K355" s="51" t="b">
        <x:v>0</x:v>
      </x:c>
      <x:c r="L355" s="51" t="b">
        <x:v>1</x:v>
      </x:c>
      <x:c r="M355" s="51" t="b">
        <x:v>0</x:v>
      </x:c>
      <x:c r="N355" s="51" t="b">
        <x:v>0</x:v>
      </x:c>
    </x:row>
    <x:row r="356">
      <x:c r="A356" t="str">
        <x:v>ONGC</x:v>
      </x:c>
      <x:c r="B356" s="52" t="n">
        <x:v>45751</x:v>
      </x:c>
      <x:c r="C356" s="53" t="n">
        <x:v>226.01</x:v>
      </x:c>
      <x:c r="D356" s="46" t="n">
        <x:v>0.11574709083668866</x:v>
      </x:c>
      <x:c r="E356" s="46" t="n">
        <x:v>0.11574709083668866</x:v>
      </x:c>
      <x:c r="F356" t="n">
        <x:v>8</x:v>
      </x:c>
      <x:c r="G356" s="51" t="b">
        <x:v>0</x:v>
      </x:c>
      <x:c r="H356" s="51" t="b">
        <x:v>0</x:v>
      </x:c>
      <x:c r="I356" s="51" t="b">
        <x:v>1</x:v>
      </x:c>
      <x:c r="J356" s="51" t="b">
        <x:v>0</x:v>
      </x:c>
      <x:c r="K356" s="51" t="b">
        <x:v>0</x:v>
      </x:c>
      <x:c r="L356" s="51" t="b">
        <x:v>0</x:v>
      </x:c>
      <x:c r="M356" s="51" t="b">
        <x:v>0</x:v>
      </x:c>
      <x:c r="N356" s="51" t="b">
        <x:v>0</x:v>
      </x:c>
    </x:row>
    <x:row r="357">
      <x:c r="A357" t="str">
        <x:v>ONGC</x:v>
      </x:c>
      <x:c r="B357" s="52" t="n">
        <x:v>45811</x:v>
      </x:c>
      <x:c r="C357" s="53" t="n">
        <x:v>237.27</x:v>
      </x:c>
      <x:c r="D357" s="46" t="n">
        <x:v>0.08226914485607129</x:v>
      </x:c>
      <x:c r="E357" s="46" t="n">
        <x:v>0.06338770177434983</x:v>
      </x:c>
      <x:c r="F357" t="n">
        <x:v>9</x:v>
      </x:c>
      <x:c r="G357" s="51" t="b">
        <x:v>0</x:v>
      </x:c>
      <x:c r="H357" s="51" t="b">
        <x:v>0</x:v>
      </x:c>
      <x:c r="I357" s="51" t="b">
        <x:v>1</x:v>
      </x:c>
      <x:c r="J357" s="51" t="b">
        <x:v>0</x:v>
      </x:c>
      <x:c r="K357" s="51" t="b">
        <x:v>0</x:v>
      </x:c>
      <x:c r="L357" s="51" t="b">
        <x:v>0</x:v>
      </x:c>
      <x:c r="M357" s="51" t="b">
        <x:v>0</x:v>
      </x:c>
      <x:c r="N357" s="51" t="b">
        <x:v>0</x:v>
      </x:c>
    </x:row>
    <x:row r="358">
      <x:c r="A358" t="str">
        <x:v>ONGC</x:v>
      </x:c>
      <x:c r="B358" s="52" t="n">
        <x:v>46034</x:v>
      </x:c>
      <x:c r="C358" s="53" t="n">
        <x:v>235.71</x:v>
      </x:c>
      <x:c r="D358" s="46" t="n">
        <x:v>0.13945102032158152</x:v>
      </x:c>
      <x:c r="E358" s="46" t="n">
        <x:v>0.13945102032158152</x:v>
      </x:c>
      <x:c r="F358" t="n">
        <x:v>10</x:v>
      </x:c>
      <x:c r="G358" s="51" t="b">
        <x:v>0</x:v>
      </x:c>
      <x:c r="H358" s="51" t="b">
        <x:v>0</x:v>
      </x:c>
      <x:c r="I358" s="51" t="b">
        <x:v>1</x:v>
      </x:c>
      <x:c r="J358" s="51" t="b">
        <x:v>0</x:v>
      </x:c>
      <x:c r="K358" s="51" t="b">
        <x:v>0</x:v>
      </x:c>
      <x:c r="L358" s="51" t="b">
        <x:v>0</x:v>
      </x:c>
      <x:c r="M358" s="51" t="b">
        <x:v>0</x:v>
      </x:c>
      <x:c r="N358" s="51" t="b">
        <x:v>0</x:v>
      </x:c>
    </x:row>
    <x:row r="359">
      <x:c r="A359" t="str">
        <x:v>ONGC</x:v>
      </x:c>
      <x:c r="B359" s="52" t="n">
        <x:v>46097</x:v>
      </x:c>
      <x:c r="C359" s="53" t="n">
        <x:v>260.45</x:v>
      </x:c>
      <x:c r="D359" s="46" t="n">
        <x:v>0.10597043578421972</x:v>
      </x:c>
      <x:c r="E359" s="46" t="n">
        <x:v>0.10597043578421972</x:v>
      </x:c>
      <x:c r="F359" t="n">
        <x:v>8</x:v>
      </x:c>
      <x:c r="G359" s="51" t="b">
        <x:v>0</x:v>
      </x:c>
      <x:c r="H359" s="51" t="b">
        <x:v>0</x:v>
      </x:c>
      <x:c r="I359" s="51" t="b">
        <x:v>0</x:v>
      </x:c>
      <x:c r="J359" s="51" t="b">
        <x:v>0</x:v>
      </x:c>
      <x:c r="K359" s="51" t="b">
        <x:v>0</x:v>
      </x:c>
      <x:c r="L359" s="51" t="b">
        <x:v>0</x:v>
      </x:c>
      <x:c r="M359" s="51" t="b">
        <x:v>0</x:v>
      </x:c>
      <x:c r="N359" s="51" t="b">
        <x:v>0</x:v>
      </x:c>
    </x:row>
    <x:row r="360">
      <x:c r="A360" t="str">
        <x:v>RELIANCE</x:v>
      </x:c>
      <x:c r="B360" s="52" t="n">
        <x:v>42423</x:v>
      </x:c>
      <x:c r="C360" s="53" t="n">
        <x:v>949.65</x:v>
      </x:c>
      <x:c r="D360" s="46" t="n">
        <x:v>0.09693044805981166</x:v>
      </x:c>
      <x:c r="E360" s="46" t="n">
        <x:v>0.09693044805981166</x:v>
      </x:c>
      <x:c r="F360" t="n">
        <x:v>9</x:v>
      </x:c>
      <x:c r="G360" s="51" t="b">
        <x:v>0</x:v>
      </x:c>
      <x:c r="H360" s="51" t="b">
        <x:v>0</x:v>
      </x:c>
      <x:c r="I360" s="51" t="b">
        <x:v>0</x:v>
      </x:c>
      <x:c r="J360" s="51" t="b">
        <x:v>0</x:v>
      </x:c>
      <x:c r="K360" s="51" t="b">
        <x:v>0</x:v>
      </x:c>
      <x:c r="L360" s="51" t="b">
        <x:v>0</x:v>
      </x:c>
      <x:c r="M360" s="51" t="b">
        <x:v>1</x:v>
      </x:c>
      <x:c r="N360" s="51" t="b">
        <x:v>0</x:v>
      </x:c>
    </x:row>
    <x:row r="361">
      <x:c r="A361" t="str">
        <x:v>RELIANCE</x:v>
      </x:c>
      <x:c r="B361" s="52" t="n">
        <x:v>42774</x:v>
      </x:c>
      <x:c r="C361" s="53" t="n">
        <x:v>1025.15</x:v>
      </x:c>
      <x:c r="D361" s="46" t="n">
        <x:v>0.177876408330488</x:v>
      </x:c>
      <x:c r="E361" s="46" t="n">
        <x:v>0.177876408330488</x:v>
      </x:c>
      <x:c r="F361" t="n">
        <x:v>10</x:v>
      </x:c>
      <x:c r="G361" s="51" t="b">
        <x:v>0</x:v>
      </x:c>
      <x:c r="H361" s="51" t="b">
        <x:v>0</x:v>
      </x:c>
      <x:c r="I361" s="51" t="b">
        <x:v>1</x:v>
      </x:c>
      <x:c r="J361" s="51" t="b">
        <x:v>0</x:v>
      </x:c>
      <x:c r="K361" s="51" t="b">
        <x:v>0</x:v>
      </x:c>
      <x:c r="L361" s="51" t="b">
        <x:v>1</x:v>
      </x:c>
      <x:c r="M361" s="51" t="b">
        <x:v>1</x:v>
      </x:c>
      <x:c r="N361" s="51" t="b">
        <x:v>0</x:v>
      </x:c>
    </x:row>
    <x:row r="362">
      <x:c r="A362" t="str">
        <x:v>RELIANCE</x:v>
      </x:c>
      <x:c r="B362" s="52" t="n">
        <x:v>42815</x:v>
      </x:c>
      <x:c r="C362" s="53" t="n">
        <x:v>1263.8</x:v>
      </x:c>
      <x:c r="D362" s="46" t="n">
        <x:v>0.11963918341509738</x:v>
      </x:c>
      <x:c r="E362" s="46" t="n">
        <x:v>0.11963918341509738</x:v>
      </x:c>
      <x:c r="F362" t="n">
        <x:v>9</x:v>
      </x:c>
      <x:c r="G362" s="51" t="b">
        <x:v>0</x:v>
      </x:c>
      <x:c r="H362" s="51" t="b">
        <x:v>0</x:v>
      </x:c>
      <x:c r="I362" s="51" t="b">
        <x:v>0</x:v>
      </x:c>
      <x:c r="J362" s="51" t="b">
        <x:v>0</x:v>
      </x:c>
      <x:c r="K362" s="51" t="b">
        <x:v>1</x:v>
      </x:c>
      <x:c r="L362" s="51" t="b">
        <x:v>1</x:v>
      </x:c>
      <x:c r="M362" s="51" t="b">
        <x:v>1</x:v>
      </x:c>
      <x:c r="N362" s="51" t="b">
        <x:v>0</x:v>
      </x:c>
    </x:row>
    <x:row r="363">
      <x:c r="A363" t="str">
        <x:v>RELIANCE</x:v>
      </x:c>
      <x:c r="B363" s="52" t="n">
        <x:v>42898</x:v>
      </x:c>
      <x:c r="C363" s="53" t="n">
        <x:v>1319.45</x:v>
      </x:c>
      <x:c r="D363" s="46" t="n">
        <x:v>0.08920383493122142</x:v>
      </x:c>
      <x:c r="E363" s="46" t="n">
        <x:v>0.08920383493122142</x:v>
      </x:c>
      <x:c r="F363" t="n">
        <x:v>8</x:v>
      </x:c>
      <x:c r="G363" s="51" t="b">
        <x:v>0</x:v>
      </x:c>
      <x:c r="H363" s="51" t="b">
        <x:v>0</x:v>
      </x:c>
      <x:c r="I363" s="51" t="b">
        <x:v>0</x:v>
      </x:c>
      <x:c r="J363" s="51" t="b">
        <x:v>0</x:v>
      </x:c>
      <x:c r="K363" s="51" t="b">
        <x:v>0</x:v>
      </x:c>
      <x:c r="L363" s="51" t="b">
        <x:v>0</x:v>
      </x:c>
      <x:c r="M363" s="51" t="b">
        <x:v>1</x:v>
      </x:c>
      <x:c r="N363" s="51" t="b">
        <x:v>0</x:v>
      </x:c>
    </x:row>
    <x:row r="364">
      <x:c r="A364" t="str">
        <x:v>RELIANCE</x:v>
      </x:c>
      <x:c r="B364" s="52" t="n">
        <x:v>42914</x:v>
      </x:c>
      <x:c r="C364" s="53" t="n">
        <x:v>1398.5</x:v>
      </x:c>
      <x:c r="D364" s="46" t="n">
        <x:v>0.08051483732570608</x:v>
      </x:c>
      <x:c r="E364" s="46" t="n">
        <x:v>0.08051483732570608</x:v>
      </x:c>
      <x:c r="F364" t="n">
        <x:v>10</x:v>
      </x:c>
      <x:c r="G364" s="51" t="b">
        <x:v>0</x:v>
      </x:c>
      <x:c r="H364" s="51" t="b">
        <x:v>0</x:v>
      </x:c>
      <x:c r="I364" s="51" t="b">
        <x:v>0</x:v>
      </x:c>
      <x:c r="J364" s="51" t="b">
        <x:v>0</x:v>
      </x:c>
      <x:c r="K364" s="51" t="b">
        <x:v>1</x:v>
      </x:c>
      <x:c r="L364" s="51" t="b">
        <x:v>0</x:v>
      </x:c>
      <x:c r="M364" s="51" t="b">
        <x:v>1</x:v>
      </x:c>
      <x:c r="N364" s="51" t="b">
        <x:v>0</x:v>
      </x:c>
    </x:row>
    <x:row r="365">
      <x:c r="A365" t="str">
        <x:v>RELIANCE</x:v>
      </x:c>
      <x:c r="B365" s="52" t="n">
        <x:v>43005</x:v>
      </x:c>
      <x:c r="C365" s="53" t="n">
        <x:v>799.15</x:v>
      </x:c>
      <x:c r="D365" s="46" t="n">
        <x:v>0.09209785396984294</x:v>
      </x:c>
      <x:c r="E365" s="46" t="n">
        <x:v>0.09209785396984294</x:v>
      </x:c>
      <x:c r="F365" t="n">
        <x:v>10</x:v>
      </x:c>
      <x:c r="G365" s="51" t="b">
        <x:v>0</x:v>
      </x:c>
      <x:c r="H365" s="51" t="b">
        <x:v>0</x:v>
      </x:c>
      <x:c r="I365" s="51" t="b">
        <x:v>0</x:v>
      </x:c>
      <x:c r="J365" s="51" t="b">
        <x:v>0</x:v>
      </x:c>
      <x:c r="K365" s="51" t="b">
        <x:v>0</x:v>
      </x:c>
      <x:c r="L365" s="51" t="b">
        <x:v>0</x:v>
      </x:c>
      <x:c r="M365" s="51" t="b">
        <x:v>0</x:v>
      </x:c>
      <x:c r="N365" s="51" t="b">
        <x:v>0</x:v>
      </x:c>
    </x:row>
    <x:row r="366">
      <x:c r="A366" t="str">
        <x:v>RELIANCE</x:v>
      </x:c>
      <x:c r="B366" s="52" t="n">
        <x:v>43052</x:v>
      </x:c>
      <x:c r="C366" s="53" t="n">
        <x:v>875.25</x:v>
      </x:c>
      <x:c r="D366" s="46" t="n">
        <x:v>0.08694658668951738</x:v>
      </x:c>
      <x:c r="E366" s="46" t="n">
        <x:v>0.08694658668951738</x:v>
      </x:c>
      <x:c r="F366" t="n">
        <x:v>8</x:v>
      </x:c>
      <x:c r="G366" s="51" t="b">
        <x:v>0</x:v>
      </x:c>
      <x:c r="H366" s="51" t="b">
        <x:v>0</x:v>
      </x:c>
      <x:c r="I366" s="51" t="b">
        <x:v>0</x:v>
      </x:c>
      <x:c r="J366" s="51" t="b">
        <x:v>0</x:v>
      </x:c>
      <x:c r="K366" s="51" t="b">
        <x:v>0</x:v>
      </x:c>
      <x:c r="L366" s="51" t="b">
        <x:v>1</x:v>
      </x:c>
      <x:c r="M366" s="51" t="b">
        <x:v>1</x:v>
      </x:c>
      <x:c r="N366" s="51" t="b">
        <x:v>0</x:v>
      </x:c>
    </x:row>
    <x:row r="367">
      <x:c r="A367" t="str">
        <x:v>RELIANCE</x:v>
      </x:c>
      <x:c r="B367" s="52" t="n">
        <x:v>43249</x:v>
      </x:c>
      <x:c r="C367" s="53" t="n">
        <x:v>917.45</x:v>
      </x:c>
      <x:c r="D367" s="46" t="n">
        <x:v>0.08687121914000762</x:v>
      </x:c>
      <x:c r="E367" s="46" t="n">
        <x:v>0.08687121914000762</x:v>
      </x:c>
      <x:c r="F367" t="n">
        <x:v>10</x:v>
      </x:c>
      <x:c r="G367" s="51" t="b">
        <x:v>0</x:v>
      </x:c>
      <x:c r="H367" s="51" t="b">
        <x:v>0</x:v>
      </x:c>
      <x:c r="I367" s="51" t="b">
        <x:v>0</x:v>
      </x:c>
      <x:c r="J367" s="51" t="b">
        <x:v>0</x:v>
      </x:c>
      <x:c r="K367" s="51" t="b">
        <x:v>0</x:v>
      </x:c>
      <x:c r="L367" s="51" t="b">
        <x:v>1</x:v>
      </x:c>
      <x:c r="M367" s="51" t="b">
        <x:v>0</x:v>
      </x:c>
      <x:c r="N367" s="51" t="b">
        <x:v>1</x:v>
      </x:c>
    </x:row>
    <x:row r="368">
      <x:c r="A368" t="str">
        <x:v>RELIANCE</x:v>
      </x:c>
      <x:c r="B368" s="52" t="n">
        <x:v>43279</x:v>
      </x:c>
      <x:c r="C368" s="53" t="n">
        <x:v>944.95</x:v>
      </x:c>
      <x:c r="D368" s="46" t="n">
        <x:v>0.14540451875760607</x:v>
      </x:c>
      <x:c r="E368" s="46" t="n">
        <x:v>0.14540451875760607</x:v>
      </x:c>
      <x:c r="F368" t="n">
        <x:v>8</x:v>
      </x:c>
      <x:c r="G368" s="51" t="b">
        <x:v>0</x:v>
      </x:c>
      <x:c r="H368" s="51" t="b">
        <x:v>0</x:v>
      </x:c>
      <x:c r="I368" s="51" t="b">
        <x:v>0</x:v>
      </x:c>
      <x:c r="J368" s="51" t="b">
        <x:v>0</x:v>
      </x:c>
      <x:c r="K368" s="51" t="b">
        <x:v>0</x:v>
      </x:c>
      <x:c r="L368" s="51" t="b">
        <x:v>0</x:v>
      </x:c>
      <x:c r="M368" s="51" t="b">
        <x:v>0</x:v>
      </x:c>
      <x:c r="N368" s="51" t="b">
        <x:v>1</x:v>
      </x:c>
    </x:row>
    <x:row r="369">
      <x:c r="A369" t="str">
        <x:v>RELIANCE</x:v>
      </x:c>
      <x:c r="B369" s="52" t="n">
        <x:v>43322</x:v>
      </x:c>
      <x:c r="C369" s="53" t="n">
        <x:v>1204.2</x:v>
      </x:c>
      <x:c r="D369" s="46" t="n">
        <x:v>0.09533300116259746</x:v>
      </x:c>
      <x:c r="E369" s="46" t="n">
        <x:v>0.09533300116259746</x:v>
      </x:c>
      <x:c r="F369" t="n">
        <x:v>10</x:v>
      </x:c>
      <x:c r="G369" s="51" t="b">
        <x:v>0</x:v>
      </x:c>
      <x:c r="H369" s="51" t="b">
        <x:v>0</x:v>
      </x:c>
      <x:c r="I369" s="51" t="b">
        <x:v>0</x:v>
      </x:c>
      <x:c r="J369" s="51" t="b">
        <x:v>0</x:v>
      </x:c>
      <x:c r="K369" s="51" t="b">
        <x:v>0</x:v>
      </x:c>
      <x:c r="L369" s="51" t="b">
        <x:v>0</x:v>
      </x:c>
      <x:c r="M369" s="51" t="b">
        <x:v>1</x:v>
      </x:c>
      <x:c r="N369" s="51" t="b">
        <x:v>1</x:v>
      </x:c>
    </x:row>
    <x:row r="370">
      <x:c r="A370" t="str">
        <x:v>RELIANCE</x:v>
      </x:c>
      <x:c r="B370" s="52" t="n">
        <x:v>43378</x:v>
      </x:c>
      <x:c r="C370" s="53" t="n">
        <x:v>1048.85</x:v>
      </x:c>
      <x:c r="D370" s="46" t="n">
        <x:v>0.10959622443628736</x:v>
      </x:c>
      <x:c r="E370" s="46" t="n">
        <x:v>0.013157267483434376</x:v>
      </x:c>
      <x:c r="F370" t="n">
        <x:v>6</x:v>
      </x:c>
      <x:c r="G370" s="51" t="b">
        <x:v>0</x:v>
      </x:c>
      <x:c r="H370" s="51" t="b">
        <x:v>0</x:v>
      </x:c>
      <x:c r="I370" s="51" t="b">
        <x:v>0</x:v>
      </x:c>
      <x:c r="J370" s="51" t="b">
        <x:v>0</x:v>
      </x:c>
      <x:c r="K370" s="51" t="b">
        <x:v>0</x:v>
      </x:c>
      <x:c r="L370" s="51" t="b">
        <x:v>0</x:v>
      </x:c>
      <x:c r="M370" s="51" t="b">
        <x:v>0</x:v>
      </x:c>
      <x:c r="N370" s="51" t="b">
        <x:v>1</x:v>
      </x:c>
    </x:row>
    <x:row r="371">
      <x:c r="A371" t="str">
        <x:v>RELIANCE</x:v>
      </x:c>
      <x:c r="B371" s="52" t="n">
        <x:v>43472</x:v>
      </x:c>
      <x:c r="C371" s="53" t="n">
        <x:v>1104.75</x:v>
      </x:c>
      <x:c r="D371" s="46" t="n">
        <x:v>0.12034396922380641</x:v>
      </x:c>
      <x:c r="E371" s="46" t="n">
        <x:v>0.12034396922380641</x:v>
      </x:c>
      <x:c r="F371" t="n">
        <x:v>10</x:v>
      </x:c>
      <x:c r="G371" s="51" t="b">
        <x:v>0</x:v>
      </x:c>
      <x:c r="H371" s="51" t="b">
        <x:v>0</x:v>
      </x:c>
      <x:c r="I371" s="51" t="b">
        <x:v>0</x:v>
      </x:c>
      <x:c r="J371" s="51" t="b">
        <x:v>0</x:v>
      </x:c>
      <x:c r="K371" s="51" t="b">
        <x:v>0</x:v>
      </x:c>
      <x:c r="L371" s="51" t="b">
        <x:v>0</x:v>
      </x:c>
      <x:c r="M371" s="51" t="b">
        <x:v>0</x:v>
      </x:c>
      <x:c r="N371" s="51" t="b">
        <x:v>1</x:v>
      </x:c>
    </x:row>
    <x:row r="372">
      <x:c r="A372" t="str">
        <x:v>RELIANCE</x:v>
      </x:c>
      <x:c r="B372" s="52" t="n">
        <x:v>43494</x:v>
      </x:c>
      <x:c r="C372" s="53" t="n">
        <x:v>1210.65</x:v>
      </x:c>
      <x:c r="D372" s="46" t="n">
        <x:v>0.0822698550365506</x:v>
      </x:c>
      <x:c r="E372" s="46" t="n">
        <x:v>0.03778961714781315</x:v>
      </x:c>
      <x:c r="F372" t="n">
        <x:v>6</x:v>
      </x:c>
      <x:c r="G372" s="51" t="b">
        <x:v>0</x:v>
      </x:c>
      <x:c r="H372" s="51" t="b">
        <x:v>0</x:v>
      </x:c>
      <x:c r="I372" s="51" t="b">
        <x:v>0</x:v>
      </x:c>
      <x:c r="J372" s="51" t="b">
        <x:v>0</x:v>
      </x:c>
      <x:c r="K372" s="51" t="b">
        <x:v>0</x:v>
      </x:c>
      <x:c r="L372" s="51" t="b">
        <x:v>0</x:v>
      </x:c>
      <x:c r="M372" s="51" t="b">
        <x:v>0</x:v>
      </x:c>
      <x:c r="N372" s="51" t="b">
        <x:v>1</x:v>
      </x:c>
    </x:row>
    <x:row r="373">
      <x:c r="A373" t="str">
        <x:v>RELIANCE</x:v>
      </x:c>
      <x:c r="B373" s="52" t="n">
        <x:v>43521</x:v>
      </x:c>
      <x:c r="C373" s="53" t="n">
        <x:v>1232.3</x:v>
      </x:c>
      <x:c r="D373" s="46" t="n">
        <x:v>0.08037815467012899</x:v>
      </x:c>
      <x:c r="E373" s="46" t="n">
        <x:v>0.08037815467012899</x:v>
      </x:c>
      <x:c r="F373" t="n">
        <x:v>10</x:v>
      </x:c>
      <x:c r="G373" s="51" t="b">
        <x:v>0</x:v>
      </x:c>
      <x:c r="H373" s="51" t="b">
        <x:v>0</x:v>
      </x:c>
      <x:c r="I373" s="51" t="b">
        <x:v>0</x:v>
      </x:c>
      <x:c r="J373" s="51" t="b">
        <x:v>0</x:v>
      </x:c>
      <x:c r="K373" s="51" t="b">
        <x:v>0</x:v>
      </x:c>
      <x:c r="L373" s="51" t="b">
        <x:v>0</x:v>
      </x:c>
      <x:c r="M373" s="51" t="b">
        <x:v>0</x:v>
      </x:c>
      <x:c r="N373" s="51" t="b">
        <x:v>1</x:v>
      </x:c>
    </x:row>
    <x:row r="374">
      <x:c r="A374" t="str">
        <x:v>RELIANCE</x:v>
      </x:c>
      <x:c r="B374" s="52" t="n">
        <x:v>43598</x:v>
      </x:c>
      <x:c r="C374" s="53" t="n">
        <x:v>1232.05</x:v>
      </x:c>
      <x:c r="D374" s="46" t="n">
        <x:v>0.08794285946187252</x:v>
      </x:c>
      <x:c r="E374" s="46" t="n">
        <x:v>0.06379611217077241</x:v>
      </x:c>
      <x:c r="F374" t="n">
        <x:v>6</x:v>
      </x:c>
      <x:c r="G374" s="51" t="b">
        <x:v>0</x:v>
      </x:c>
      <x:c r="H374" s="51" t="b">
        <x:v>0</x:v>
      </x:c>
      <x:c r="I374" s="51" t="b">
        <x:v>0</x:v>
      </x:c>
      <x:c r="J374" s="51" t="b">
        <x:v>0</x:v>
      </x:c>
      <x:c r="K374" s="51" t="b">
        <x:v>0</x:v>
      </x:c>
      <x:c r="L374" s="51" t="b">
        <x:v>0</x:v>
      </x:c>
      <x:c r="M374" s="51" t="b">
        <x:v>1</x:v>
      </x:c>
      <x:c r="N374" s="51" t="b">
        <x:v>0</x:v>
      </x:c>
    </x:row>
    <x:row r="375">
      <x:c r="A375" t="str">
        <x:v>RELIANCE</x:v>
      </x:c>
      <x:c r="B375" s="52" t="n">
        <x:v>43676</x:v>
      </x:c>
      <x:c r="C375" s="53" t="n">
        <x:v>1180.9</x:v>
      </x:c>
      <x:c r="D375" s="46" t="n">
        <x:v>0.09090524176475556</x:v>
      </x:c>
      <x:c r="E375" s="46" t="n">
        <x:v>0.09090524176475556</x:v>
      </x:c>
      <x:c r="F375" t="n">
        <x:v>10</x:v>
      </x:c>
      <x:c r="G375" s="51" t="b">
        <x:v>0</x:v>
      </x:c>
      <x:c r="H375" s="51" t="b">
        <x:v>0</x:v>
      </x:c>
      <x:c r="I375" s="51" t="b">
        <x:v>0</x:v>
      </x:c>
      <x:c r="J375" s="51" t="b">
        <x:v>0</x:v>
      </x:c>
      <x:c r="K375" s="51" t="b">
        <x:v>0</x:v>
      </x:c>
      <x:c r="L375" s="51" t="b">
        <x:v>1</x:v>
      </x:c>
      <x:c r="M375" s="51" t="b">
        <x:v>0</x:v>
      </x:c>
      <x:c r="N375" s="51" t="b">
        <x:v>1</x:v>
      </x:c>
    </x:row>
    <x:row r="376">
      <x:c r="A376" t="str">
        <x:v>RELIANCE</x:v>
      </x:c>
      <x:c r="B376" s="52" t="n">
        <x:v>43724</x:v>
      </x:c>
      <x:c r="C376" s="53" t="n">
        <x:v>1210.75</x:v>
      </x:c>
      <x:c r="D376" s="46" t="n">
        <x:v>0.10035102209374358</x:v>
      </x:c>
      <x:c r="E376" s="46" t="n">
        <x:v>0.10035102209374358</x:v>
      </x:c>
      <x:c r="F376" t="n">
        <x:v>9</x:v>
      </x:c>
      <x:c r="G376" s="51" t="b">
        <x:v>0</x:v>
      </x:c>
      <x:c r="H376" s="51" t="b">
        <x:v>0</x:v>
      </x:c>
      <x:c r="I376" s="51" t="b">
        <x:v>0</x:v>
      </x:c>
      <x:c r="J376" s="51" t="b">
        <x:v>0</x:v>
      </x:c>
      <x:c r="K376" s="51" t="b">
        <x:v>0</x:v>
      </x:c>
      <x:c r="L376" s="51" t="b">
        <x:v>0</x:v>
      </x:c>
      <x:c r="M376" s="51" t="b">
        <x:v>0</x:v>
      </x:c>
      <x:c r="N376" s="51" t="b">
        <x:v>1</x:v>
      </x:c>
    </x:row>
    <x:row r="377">
      <x:c r="A377" t="str">
        <x:v>RELIANCE</x:v>
      </x:c>
      <x:c r="B377" s="52" t="n">
        <x:v>43741</x:v>
      </x:c>
      <x:c r="C377" s="53" t="n">
        <x:v>1311.05</x:v>
      </x:c>
      <x:c r="D377" s="46" t="n">
        <x:v>0.08031730292513628</x:v>
      </x:c>
      <x:c r="E377" s="46" t="n">
        <x:v>0.08031730292513628</x:v>
      </x:c>
      <x:c r="F377" t="n">
        <x:v>10</x:v>
      </x:c>
      <x:c r="G377" s="51" t="b">
        <x:v>0</x:v>
      </x:c>
      <x:c r="H377" s="51" t="b">
        <x:v>0</x:v>
      </x:c>
      <x:c r="I377" s="51" t="b">
        <x:v>0</x:v>
      </x:c>
      <x:c r="J377" s="51" t="b">
        <x:v>0</x:v>
      </x:c>
      <x:c r="K377" s="51" t="b">
        <x:v>1</x:v>
      </x:c>
      <x:c r="L377" s="51" t="b">
        <x:v>1</x:v>
      </x:c>
      <x:c r="M377" s="51" t="b">
        <x:v>0</x:v>
      </x:c>
      <x:c r="N377" s="51" t="b">
        <x:v>1</x:v>
      </x:c>
    </x:row>
    <x:row r="378">
      <x:c r="A378" t="str">
        <x:v>RELIANCE</x:v>
      </x:c>
      <x:c r="B378" s="52" t="n">
        <x:v>43777</x:v>
      </x:c>
      <x:c r="C378" s="53" t="n">
        <x:v>1445.5</x:v>
      </x:c>
      <x:c r="D378" s="46" t="n">
        <x:v>0.08028363887928047</x:v>
      </x:c>
      <x:c r="E378" s="46" t="n">
        <x:v>0.08028363887928047</x:v>
      </x:c>
      <x:c r="F378" t="n">
        <x:v>10</x:v>
      </x:c>
      <x:c r="G378" s="51" t="b">
        <x:v>0</x:v>
      </x:c>
      <x:c r="H378" s="51" t="b">
        <x:v>0</x:v>
      </x:c>
      <x:c r="I378" s="51" t="b">
        <x:v>0</x:v>
      </x:c>
      <x:c r="J378" s="51" t="b">
        <x:v>0</x:v>
      </x:c>
      <x:c r="K378" s="51" t="b">
        <x:v>0</x:v>
      </x:c>
      <x:c r="L378" s="51" t="b">
        <x:v>0</x:v>
      </x:c>
      <x:c r="M378" s="51" t="b">
        <x:v>0</x:v>
      </x:c>
      <x:c r="N378" s="51" t="b">
        <x:v>1</x:v>
      </x:c>
    </x:row>
    <x:row r="379">
      <x:c r="A379" t="str">
        <x:v>RELIANCE</x:v>
      </x:c>
      <x:c r="B379" s="52" t="n">
        <x:v>43907</x:v>
      </x:c>
      <x:c r="C379" s="53" t="n">
        <x:v>1008</x:v>
      </x:c>
      <x:c r="D379" s="46" t="n">
        <x:v>0.10491071428571419</x:v>
      </x:c>
      <x:c r="E379" s="46" t="n">
        <x:v>0.10491071428571419</x:v>
      </x:c>
      <x:c r="F379" t="n">
        <x:v>10</x:v>
      </x:c>
      <x:c r="G379" s="51" t="b">
        <x:v>0</x:v>
      </x:c>
      <x:c r="H379" s="51" t="b">
        <x:v>0</x:v>
      </x:c>
      <x:c r="I379" s="51" t="b">
        <x:v>1</x:v>
      </x:c>
      <x:c r="J379" s="51" t="b">
        <x:v>0</x:v>
      </x:c>
      <x:c r="K379" s="51" t="b">
        <x:v>0</x:v>
      </x:c>
      <x:c r="L379" s="51" t="b">
        <x:v>0</x:v>
      </x:c>
      <x:c r="M379" s="51" t="b">
        <x:v>0</x:v>
      </x:c>
      <x:c r="N379" s="51" t="b">
        <x:v>0</x:v>
      </x:c>
    </x:row>
    <x:row r="380">
      <x:c r="A380" t="str">
        <x:v>RELIANCE</x:v>
      </x:c>
      <x:c r="B380" s="52" t="n">
        <x:v>43970</x:v>
      </x:c>
      <x:c r="C380" s="53" t="n">
        <x:v>1408.9</x:v>
      </x:c>
      <x:c r="D380" s="46" t="n">
        <x:v>0.09422244304066996</x:v>
      </x:c>
      <x:c r="E380" s="46" t="n">
        <x:v>0.09422244304066996</x:v>
      </x:c>
      <x:c r="F380" t="n">
        <x:v>9</x:v>
      </x:c>
      <x:c r="G380" s="51" t="b">
        <x:v>0</x:v>
      </x:c>
      <x:c r="H380" s="51" t="b">
        <x:v>0</x:v>
      </x:c>
      <x:c r="I380" s="51" t="b">
        <x:v>0</x:v>
      </x:c>
      <x:c r="J380" s="51" t="b">
        <x:v>0</x:v>
      </x:c>
      <x:c r="K380" s="51" t="b">
        <x:v>1</x:v>
      </x:c>
      <x:c r="L380" s="51" t="b">
        <x:v>0</x:v>
      </x:c>
      <x:c r="M380" s="51" t="b">
        <x:v>0</x:v>
      </x:c>
      <x:c r="N380" s="51" t="b">
        <x:v>0</x:v>
      </x:c>
    </x:row>
    <x:row r="381">
      <x:c r="A381" t="str">
        <x:v>RELIANCE</x:v>
      </x:c>
      <x:c r="B381" s="52" t="n">
        <x:v>44011</x:v>
      </x:c>
      <x:c r="C381" s="53" t="n">
        <x:v>1723.15</x:v>
      </x:c>
      <x:c r="D381" s="46" t="n">
        <x:v>0.12294344659489886</x:v>
      </x:c>
      <x:c r="E381" s="46" t="n">
        <x:v>0.12294344659489886</x:v>
      </x:c>
      <x:c r="F381" t="n">
        <x:v>9</x:v>
      </x:c>
      <x:c r="G381" s="51" t="b">
        <x:v>0</x:v>
      </x:c>
      <x:c r="H381" s="51" t="b">
        <x:v>0</x:v>
      </x:c>
      <x:c r="I381" s="51" t="b">
        <x:v>0</x:v>
      </x:c>
      <x:c r="J381" s="51" t="b">
        <x:v>0</x:v>
      </x:c>
      <x:c r="K381" s="51" t="b">
        <x:v>0</x:v>
      </x:c>
      <x:c r="L381" s="51" t="b">
        <x:v>1</x:v>
      </x:c>
      <x:c r="M381" s="51" t="b">
        <x:v>0</x:v>
      </x:c>
      <x:c r="N381" s="51" t="b">
        <x:v>0</x:v>
      </x:c>
    </x:row>
    <x:row r="382">
      <x:c r="A382" t="str">
        <x:v>RELIANCE</x:v>
      </x:c>
      <x:c r="B382" s="52" t="n">
        <x:v>44070</x:v>
      </x:c>
      <x:c r="C382" s="53" t="n">
        <x:v>2110.6</x:v>
      </x:c>
      <x:c r="D382" s="46" t="n">
        <x:v>0.09637070027480332</x:v>
      </x:c>
      <x:c r="E382" s="46" t="n">
        <x:v>0.09637070027480332</x:v>
      </x:c>
      <x:c r="F382" t="n">
        <x:v>10</x:v>
      </x:c>
      <x:c r="G382" s="51" t="b">
        <x:v>0</x:v>
      </x:c>
      <x:c r="H382" s="51" t="b">
        <x:v>0</x:v>
      </x:c>
      <x:c r="I382" s="51" t="b">
        <x:v>0</x:v>
      </x:c>
      <x:c r="J382" s="51" t="b">
        <x:v>0</x:v>
      </x:c>
      <x:c r="K382" s="51" t="b">
        <x:v>0</x:v>
      </x:c>
      <x:c r="L382" s="51" t="b">
        <x:v>1</x:v>
      </x:c>
      <x:c r="M382" s="51" t="b">
        <x:v>1</x:v>
      </x:c>
      <x:c r="N382" s="51" t="b">
        <x:v>1</x:v>
      </x:c>
    </x:row>
    <x:row r="383">
      <x:c r="A383" t="str">
        <x:v>RELIANCE</x:v>
      </x:c>
      <x:c r="B383" s="52" t="n">
        <x:v>44137</x:v>
      </x:c>
      <x:c r="C383" s="53" t="n">
        <x:v>1877.45</x:v>
      </x:c>
      <x:c r="D383" s="46" t="n">
        <x:v>0.11030919598391442</x:v>
      </x:c>
      <x:c r="E383" s="46" t="n">
        <x:v>0.06649977362912463</x:v>
      </x:c>
      <x:c r="F383" t="n">
        <x:v>4</x:v>
      </x:c>
      <x:c r="G383" s="51" t="b">
        <x:v>0</x:v>
      </x:c>
      <x:c r="H383" s="51" t="b">
        <x:v>0</x:v>
      </x:c>
      <x:c r="I383" s="51" t="b">
        <x:v>0</x:v>
      </x:c>
      <x:c r="J383" s="51" t="b">
        <x:v>0</x:v>
      </x:c>
      <x:c r="K383" s="51" t="b">
        <x:v>0</x:v>
      </x:c>
      <x:c r="L383" s="51" t="b">
        <x:v>0</x:v>
      </x:c>
      <x:c r="M383" s="51" t="b">
        <x:v>0</x:v>
      </x:c>
      <x:c r="N383" s="51" t="b">
        <x:v>0</x:v>
      </x:c>
    </x:row>
    <x:row r="384">
      <x:c r="A384" t="str">
        <x:v>RELIANCE</x:v>
      </x:c>
      <x:c r="B384" s="52" t="n">
        <x:v>44203</x:v>
      </x:c>
      <x:c r="C384" s="53" t="n">
        <x:v>1911.15</x:v>
      </x:c>
      <x:c r="D384" s="46" t="n">
        <x:v>0.09850090259791222</x:v>
      </x:c>
      <x:c r="E384" s="46" t="n">
        <x:v>0.09850090259791222</x:v>
      </x:c>
      <x:c r="F384" t="n">
        <x:v>10</x:v>
      </x:c>
      <x:c r="G384" s="51" t="b">
        <x:v>0</x:v>
      </x:c>
      <x:c r="H384" s="51" t="b">
        <x:v>0</x:v>
      </x:c>
      <x:c r="I384" s="51" t="b">
        <x:v>0</x:v>
      </x:c>
      <x:c r="J384" s="51" t="b">
        <x:v>0</x:v>
      </x:c>
      <x:c r="K384" s="51" t="b">
        <x:v>0</x:v>
      </x:c>
      <x:c r="L384" s="51" t="b">
        <x:v>1</x:v>
      </x:c>
      <x:c r="M384" s="51" t="b">
        <x:v>1</x:v>
      </x:c>
      <x:c r="N384" s="51" t="b">
        <x:v>0</x:v>
      </x:c>
    </x:row>
    <x:row r="385">
      <x:c r="A385" t="str">
        <x:v>RELIANCE</x:v>
      </x:c>
      <x:c r="B385" s="52" t="n">
        <x:v>44428</x:v>
      </x:c>
      <x:c r="C385" s="53" t="n">
        <x:v>2148.25</x:v>
      </x:c>
      <x:c r="D385" s="46" t="n">
        <x:v>0.1118352147096473</x:v>
      </x:c>
      <x:c r="E385" s="46" t="n">
        <x:v>0.1118352147096473</x:v>
      </x:c>
      <x:c r="F385" t="n">
        <x:v>10</x:v>
      </x:c>
      <x:c r="G385" s="51" t="b">
        <x:v>0</x:v>
      </x:c>
      <x:c r="H385" s="51" t="b">
        <x:v>0</x:v>
      </x:c>
      <x:c r="I385" s="51" t="b">
        <x:v>0</x:v>
      </x:c>
      <x:c r="J385" s="51" t="b">
        <x:v>0</x:v>
      </x:c>
      <x:c r="K385" s="51" t="b">
        <x:v>0</x:v>
      </x:c>
      <x:c r="L385" s="51" t="b">
        <x:v>0</x:v>
      </x:c>
      <x:c r="M385" s="51" t="b">
        <x:v>1</x:v>
      </x:c>
      <x:c r="N385" s="51" t="b">
        <x:v>1</x:v>
      </x:c>
    </x:row>
    <x:row r="386">
      <x:c r="A386" t="str">
        <x:v>RELIANCE</x:v>
      </x:c>
      <x:c r="B386" s="52" t="n">
        <x:v>44460</x:v>
      </x:c>
      <x:c r="C386" s="53" t="n">
        <x:v>2404.7</x:v>
      </x:c>
      <x:c r="D386" s="46" t="n">
        <x:v>0.08504179315507132</x:v>
      </x:c>
      <x:c r="E386" s="46" t="n">
        <x:v>0.08504179315507132</x:v>
      </x:c>
      <x:c r="F386" t="n">
        <x:v>10</x:v>
      </x:c>
      <x:c r="G386" s="51" t="b">
        <x:v>0</x:v>
      </x:c>
      <x:c r="H386" s="51" t="b">
        <x:v>0</x:v>
      </x:c>
      <x:c r="I386" s="51" t="b">
        <x:v>1</x:v>
      </x:c>
      <x:c r="J386" s="51" t="b">
        <x:v>0</x:v>
      </x:c>
      <x:c r="K386" s="51" t="b">
        <x:v>1</x:v>
      </x:c>
      <x:c r="L386" s="51" t="b">
        <x:v>0</x:v>
      </x:c>
      <x:c r="M386" s="51" t="b">
        <x:v>1</x:v>
      </x:c>
      <x:c r="N386" s="51" t="b">
        <x:v>1</x:v>
      </x:c>
    </x:row>
    <x:row r="387">
      <x:c r="A387" t="str">
        <x:v>RELIANCE</x:v>
      </x:c>
      <x:c r="B387" s="52" t="n">
        <x:v>44627</x:v>
      </x:c>
      <x:c r="C387" s="53" t="n">
        <x:v>2239.55</x:v>
      </x:c>
      <x:c r="D387" s="46" t="n">
        <x:v>0.13020472862851906</x:v>
      </x:c>
      <x:c r="E387" s="46" t="n">
        <x:v>0.13020472862851906</x:v>
      </x:c>
      <x:c r="F387" t="n">
        <x:v>5</x:v>
      </x:c>
      <x:c r="G387" s="51" t="b">
        <x:v>0</x:v>
      </x:c>
      <x:c r="H387" s="51" t="b">
        <x:v>0</x:v>
      </x:c>
      <x:c r="I387" s="51" t="b">
        <x:v>0</x:v>
      </x:c>
      <x:c r="J387" s="51" t="b">
        <x:v>0</x:v>
      </x:c>
      <x:c r="K387" s="51" t="b">
        <x:v>0</x:v>
      </x:c>
      <x:c r="L387" s="51" t="b">
        <x:v>0</x:v>
      </x:c>
      <x:c r="M387" s="51" t="b">
        <x:v>0</x:v>
      </x:c>
      <x:c r="N387" s="51" t="b">
        <x:v>0</x:v>
      </x:c>
    </x:row>
    <x:row r="388">
      <x:c r="A388" t="str">
        <x:v>RELIANCE</x:v>
      </x:c>
      <x:c r="B388" s="52" t="n">
        <x:v>44658</x:v>
      </x:c>
      <x:c r="C388" s="53" t="n">
        <x:v>2572.85</x:v>
      </x:c>
      <x:c r="D388" s="46" t="n">
        <x:v>0.08133004255980714</x:v>
      </x:c>
      <x:c r="E388" s="46" t="n">
        <x:v>0.04747653380492456</x:v>
      </x:c>
      <x:c r="F388" t="n">
        <x:v>8</x:v>
      </x:c>
      <x:c r="G388" s="51" t="b">
        <x:v>0</x:v>
      </x:c>
      <x:c r="H388" s="51" t="b">
        <x:v>0</x:v>
      </x:c>
      <x:c r="I388" s="51" t="b">
        <x:v>0</x:v>
      </x:c>
      <x:c r="J388" s="51" t="b">
        <x:v>0</x:v>
      </x:c>
      <x:c r="K388" s="51" t="b">
        <x:v>0</x:v>
      </x:c>
      <x:c r="L388" s="51" t="b">
        <x:v>1</x:v>
      </x:c>
      <x:c r="M388" s="51" t="b">
        <x:v>1</x:v>
      </x:c>
      <x:c r="N388" s="51" t="b">
        <x:v>1</x:v>
      </x:c>
    </x:row>
    <x:row r="389">
      <x:c r="A389" t="str">
        <x:v>RELIANCE</x:v>
      </x:c>
      <x:c r="B389" s="52" t="n">
        <x:v>44693</x:v>
      </x:c>
      <x:c r="C389" s="53" t="n">
        <x:v>2399.4</x:v>
      </x:c>
      <x:c r="D389" s="46" t="n">
        <x:v>0.09379428190380912</x:v>
      </x:c>
      <x:c r="E389" s="46" t="n">
        <x:v>0.07822789030590971</x:v>
      </x:c>
      <x:c r="F389" t="n">
        <x:v>6</x:v>
      </x:c>
      <x:c r="G389" s="51" t="b">
        <x:v>0</x:v>
      </x:c>
      <x:c r="H389" s="51" t="b">
        <x:v>0</x:v>
      </x:c>
      <x:c r="I389" s="51" t="b">
        <x:v>0</x:v>
      </x:c>
      <x:c r="J389" s="51" t="b">
        <x:v>0</x:v>
      </x:c>
      <x:c r="K389" s="51" t="b">
        <x:v>0</x:v>
      </x:c>
      <x:c r="L389" s="51" t="b">
        <x:v>0</x:v>
      </x:c>
      <x:c r="M389" s="51" t="b">
        <x:v>0</x:v>
      </x:c>
      <x:c r="N389" s="51" t="b">
        <x:v>0</x:v>
      </x:c>
    </x:row>
    <x:row r="390">
      <x:c r="A390" t="str">
        <x:v>RELIANCE</x:v>
      </x:c>
      <x:c r="B390" s="52" t="n">
        <x:v>45100</x:v>
      </x:c>
      <x:c r="C390" s="53" t="n">
        <x:v>2514.75</x:v>
      </x:c>
      <x:c r="D390" s="46" t="n">
        <x:v>0.08760314146535442</x:v>
      </x:c>
      <x:c r="E390" s="46" t="n">
        <x:v>0.08760314146535442</x:v>
      </x:c>
      <x:c r="F390" t="n">
        <x:v>10</x:v>
      </x:c>
      <x:c r="G390" s="51" t="b">
        <x:v>0</x:v>
      </x:c>
      <x:c r="H390" s="51" t="b">
        <x:v>0</x:v>
      </x:c>
      <x:c r="I390" s="51" t="b">
        <x:v>0</x:v>
      </x:c>
      <x:c r="J390" s="51" t="b">
        <x:v>0</x:v>
      </x:c>
      <x:c r="K390" s="51" t="b">
        <x:v>0</x:v>
      </x:c>
      <x:c r="L390" s="51" t="b">
        <x:v>0</x:v>
      </x:c>
      <x:c r="M390" s="51" t="b">
        <x:v>0</x:v>
      </x:c>
      <x:c r="N390" s="51" t="b">
        <x:v>1</x:v>
      </x:c>
    </x:row>
    <x:row r="391">
      <x:c r="A391" t="str">
        <x:v>RELIANCE</x:v>
      </x:c>
      <x:c r="B391" s="52" t="n">
        <x:v>45300</x:v>
      </x:c>
      <x:c r="C391" s="53" t="n">
        <x:v>2580.5</x:v>
      </x:c>
      <x:c r="D391" s="46" t="n">
        <x:v>0.08050765355551248</x:v>
      </x:c>
      <x:c r="E391" s="46" t="n">
        <x:v>0.02970354582445256</x:v>
      </x:c>
      <x:c r="F391" t="n">
        <x:v>4</x:v>
      </x:c>
      <x:c r="G391" s="51" t="b">
        <x:v>0</x:v>
      </x:c>
      <x:c r="H391" s="51" t="b">
        <x:v>0</x:v>
      </x:c>
      <x:c r="I391" s="51" t="b">
        <x:v>0</x:v>
      </x:c>
      <x:c r="J391" s="51" t="b">
        <x:v>0</x:v>
      </x:c>
      <x:c r="K391" s="51" t="b">
        <x:v>1</x:v>
      </x:c>
      <x:c r="L391" s="51" t="b">
        <x:v>0</x:v>
      </x:c>
      <x:c r="M391" s="51" t="b">
        <x:v>0</x:v>
      </x:c>
      <x:c r="N391" s="51" t="b">
        <x:v>1</x:v>
      </x:c>
    </x:row>
    <x:row r="392">
      <x:c r="A392" t="str">
        <x:v>RELIANCE</x:v>
      </x:c>
      <x:c r="B392" s="52" t="n">
        <x:v>45314</x:v>
      </x:c>
      <x:c r="C392" s="53" t="n">
        <x:v>2657.15</x:v>
      </x:c>
      <x:c r="D392" s="46" t="n">
        <x:v>0.09719059895000282</x:v>
      </x:c>
      <x:c r="E392" s="46" t="n">
        <x:v>0.0854863293378243</x:v>
      </x:c>
      <x:c r="F392" t="n">
        <x:v>3</x:v>
      </x:c>
      <x:c r="G392" s="51" t="b">
        <x:v>0</x:v>
      </x:c>
      <x:c r="H392" s="51" t="b">
        <x:v>0</x:v>
      </x:c>
      <x:c r="I392" s="51" t="b">
        <x:v>0</x:v>
      </x:c>
      <x:c r="J392" s="51" t="b">
        <x:v>0</x:v>
      </x:c>
      <x:c r="K392" s="51" t="b">
        <x:v>1</x:v>
      </x:c>
      <x:c r="L392" s="51" t="b">
        <x:v>1</x:v>
      </x:c>
      <x:c r="M392" s="51" t="b">
        <x:v>0</x:v>
      </x:c>
      <x:c r="N392" s="51" t="b">
        <x:v>1</x:v>
      </x:c>
    </x:row>
    <x:row r="393">
      <x:c r="A393" t="str">
        <x:v>RELIANCE</x:v>
      </x:c>
      <x:c r="B393" s="52" t="n">
        <x:v>45464</x:v>
      </x:c>
      <x:c r="C393" s="53" t="n">
        <x:v>2908.4</x:v>
      </x:c>
      <x:c r="D393" s="46" t="n">
        <x:v>0.09243914179617652</x:v>
      </x:c>
      <x:c r="E393" s="46" t="n">
        <x:v>0.09243914179617652</x:v>
      </x:c>
      <x:c r="F393" t="n">
        <x:v>10</x:v>
      </x:c>
      <x:c r="G393" s="51" t="b">
        <x:v>0</x:v>
      </x:c>
      <x:c r="H393" s="51" t="b">
        <x:v>0</x:v>
      </x:c>
      <x:c r="I393" s="51" t="b">
        <x:v>0</x:v>
      </x:c>
      <x:c r="J393" s="51" t="b">
        <x:v>0</x:v>
      </x:c>
      <x:c r="K393" s="51" t="b">
        <x:v>0</x:v>
      </x:c>
      <x:c r="L393" s="51" t="b">
        <x:v>0</x:v>
      </x:c>
      <x:c r="M393" s="51" t="b">
        <x:v>0</x:v>
      </x:c>
      <x:c r="N393" s="51" t="b">
        <x:v>1</x:v>
      </x:c>
    </x:row>
    <x:row r="394">
      <x:c r="A394" t="str">
        <x:v>RELIANCE</x:v>
      </x:c>
      <x:c r="B394" s="52" t="n">
        <x:v>45617</x:v>
      </x:c>
      <x:c r="C394" s="53" t="n">
        <x:v>1223</x:v>
      </x:c>
      <x:c r="D394" s="46" t="n">
        <x:v>0.08201144726083398</x:v>
      </x:c>
      <x:c r="E394" s="46" t="n">
        <x:v>0.08098937040065413</x:v>
      </x:c>
      <x:c r="F394" t="n">
        <x:v>8</x:v>
      </x:c>
      <x:c r="G394" s="51" t="b">
        <x:v>0</x:v>
      </x:c>
      <x:c r="H394" s="51" t="b">
        <x:v>0</x:v>
      </x:c>
      <x:c r="I394" s="51" t="b">
        <x:v>0</x:v>
      </x:c>
      <x:c r="J394" s="51" t="b">
        <x:v>0</x:v>
      </x:c>
      <x:c r="K394" s="51" t="b">
        <x:v>0</x:v>
      </x:c>
      <x:c r="L394" s="51" t="b">
        <x:v>0</x:v>
      </x:c>
      <x:c r="M394" s="51" t="b">
        <x:v>0</x:v>
      </x:c>
      <x:c r="N394" s="51" t="b">
        <x:v>0</x:v>
      </x:c>
    </x:row>
    <x:row r="395">
      <x:c r="A395" t="str">
        <x:v>RELIANCE</x:v>
      </x:c>
      <x:c r="B395" s="52" t="n">
        <x:v>45720</x:v>
      </x:c>
      <x:c r="C395" s="53" t="n">
        <x:v>1161.9</x:v>
      </x:c>
      <x:c r="D395" s="46" t="n">
        <x:v>0.08189172906446318</x:v>
      </x:c>
      <x:c r="E395" s="46" t="n">
        <x:v>0.07337120234099315</x:v>
      </x:c>
      <x:c r="F395" t="n">
        <x:v>6</x:v>
      </x:c>
      <x:c r="G395" s="51" t="b">
        <x:v>0</x:v>
      </x:c>
      <x:c r="H395" s="51" t="b">
        <x:v>0</x:v>
      </x:c>
      <x:c r="I395" s="51" t="b">
        <x:v>0</x:v>
      </x:c>
      <x:c r="J395" s="51" t="b">
        <x:v>0</x:v>
      </x:c>
      <x:c r="K395" s="51" t="b">
        <x:v>0</x:v>
      </x:c>
      <x:c r="L395" s="51" t="b">
        <x:v>0</x:v>
      </x:c>
      <x:c r="M395" s="51" t="b">
        <x:v>0</x:v>
      </x:c>
      <x:c r="N395" s="51" t="b">
        <x:v>0</x:v>
      </x:c>
    </x:row>
    <x:row r="396">
      <x:c r="A396" t="str">
        <x:v>RELIANCE</x:v>
      </x:c>
      <x:c r="B396" s="52" t="n">
        <x:v>45754</x:v>
      </x:c>
      <x:c r="C396" s="53" t="n">
        <x:v>1165.7</x:v>
      </x:c>
      <x:c r="D396" s="46" t="n">
        <x:v>0.11658231105773353</x:v>
      </x:c>
      <x:c r="E396" s="46" t="n">
        <x:v>0.11658231105773353</x:v>
      </x:c>
      <x:c r="F396" t="n">
        <x:v>6</x:v>
      </x:c>
      <x:c r="G396" s="51" t="b">
        <x:v>0</x:v>
      </x:c>
      <x:c r="H396" s="51" t="b">
        <x:v>0</x:v>
      </x:c>
      <x:c r="I396" s="51" t="b">
        <x:v>0</x:v>
      </x:c>
      <x:c r="J396" s="51" t="b">
        <x:v>0</x:v>
      </x:c>
      <x:c r="K396" s="51" t="b">
        <x:v>0</x:v>
      </x:c>
      <x:c r="L396" s="51" t="b">
        <x:v>0</x:v>
      </x:c>
      <x:c r="M396" s="51" t="b">
        <x:v>0</x:v>
      </x:c>
      <x:c r="N396" s="51" t="b">
        <x:v>0</x:v>
      </x:c>
    </x:row>
    <x:row r="397">
      <x:c r="A397" t="str">
        <x:v>RELIANCE</x:v>
      </x:c>
      <x:c r="B397" s="52" t="n">
        <x:v>45943</x:v>
      </x:c>
      <x:c r="C397" s="53" t="n">
        <x:v>1375</x:v>
      </x:c>
      <x:c r="D397" s="46" t="n">
        <x:v>0.08138181818181822</x:v>
      </x:c>
      <x:c r="E397" s="46" t="n">
        <x:v>0.08138181818181822</x:v>
      </x:c>
      <x:c r="F397" t="n">
        <x:v>10</x:v>
      </x:c>
      <x:c r="G397" s="51" t="b">
        <x:v>0</x:v>
      </x:c>
      <x:c r="H397" s="51" t="b">
        <x:v>0</x:v>
      </x:c>
      <x:c r="I397" s="51" t="b">
        <x:v>0</x:v>
      </x:c>
      <x:c r="J397" s="51" t="b">
        <x:v>0</x:v>
      </x:c>
      <x:c r="K397" s="51" t="b">
        <x:v>0</x:v>
      </x:c>
      <x:c r="L397" s="51" t="b">
        <x:v>0</x:v>
      </x:c>
      <x:c r="M397" s="51" t="b">
        <x:v>0</x:v>
      </x:c>
      <x:c r="N397" s="51" t="b">
        <x:v>0</x:v>
      </x:c>
    </x:row>
    <x:row r="398">
      <x:c r="A398" t="str">
        <x:v>RELIANCE</x:v>
      </x:c>
      <x:c r="B398" s="52" t="n">
        <x:v>46054</x:v>
      </x:c>
      <x:c r="C398" s="53" t="n">
        <x:v>1347</x:v>
      </x:c>
      <x:c r="D398" s="46" t="n">
        <x:v>0.09034892353377888</x:v>
      </x:c>
      <x:c r="E398" s="46" t="n">
        <x:v>0.05389755011135855</x:v>
      </x:c>
      <x:c r="F398" t="n">
        <x:v>3</x:v>
      </x:c>
      <x:c r="G398" s="51" t="b">
        <x:v>0</x:v>
      </x:c>
      <x:c r="H398" s="51" t="b">
        <x:v>0</x:v>
      </x:c>
      <x:c r="I398" s="51" t="b">
        <x:v>0</x:v>
      </x:c>
      <x:c r="J398" s="51" t="b">
        <x:v>0</x:v>
      </x:c>
      <x:c r="K398" s="51" t="b">
        <x:v>0</x:v>
      </x:c>
      <x:c r="L398" s="51" t="b">
        <x:v>0</x:v>
      </x:c>
      <x:c r="M398" s="51" t="b">
        <x:v>0</x:v>
      </x:c>
      <x:c r="N398" s="51" t="b">
        <x:v>0</x:v>
      </x:c>
    </x:row>
    <x:row r="399">
      <x:c r="A399" t="str">
        <x:v>RELIANCE</x:v>
      </x:c>
      <x:c r="B399" s="52" t="n">
        <x:v>46133</x:v>
      </x:c>
      <x:c r="C399" s="53" t="n">
        <x:v>1353.3</x:v>
      </x:c>
      <x:c r="D399" s="46" t="n">
        <x:v>0.08150447055346177</x:v>
      </x:c>
      <x:c r="E399" s="46" t="n">
        <x:v>0.06251385502105977</x:v>
      </x:c>
      <x:c r="F399" t="n">
        <x:v>8</x:v>
      </x:c>
      <x:c r="G399" s="51" t="b">
        <x:v>0</x:v>
      </x:c>
      <x:c r="H399" s="51" t="b">
        <x:v>0</x:v>
      </x:c>
      <x:c r="I399" s="51" t="b">
        <x:v>0</x:v>
      </x:c>
      <x:c r="J399" s="51" t="b">
        <x:v>0</x:v>
      </x:c>
      <x:c r="K399" s="51" t="b">
        <x:v>0</x:v>
      </x:c>
      <x:c r="L399" s="51" t="b">
        <x:v>0</x:v>
      </x:c>
      <x:c r="M399" s="51" t="b">
        <x:v>0</x:v>
      </x:c>
      <x:c r="N399" s="51" t="b">
        <x:v>0</x:v>
      </x:c>
    </x:row>
    <x:row r="400">
      <x:c r="A400" t="str">
        <x:v>SBIN</x:v>
      </x:c>
      <x:c r="B400" s="52" t="n">
        <x:v>42411</x:v>
      </x:c>
      <x:c r="C400" s="53" t="n">
        <x:v>154.25</x:v>
      </x:c>
      <x:c r="D400" s="46" t="n">
        <x:v>0.0881685575364668</x:v>
      </x:c>
      <x:c r="E400" s="46" t="n">
        <x:v>-0.01588330632090751</x:v>
      </x:c>
      <x:c r="F400" t="n">
        <x:v>2</x:v>
      </x:c>
      <x:c r="G400" s="51" t="b">
        <x:v>0</x:v>
      </x:c>
      <x:c r="H400" s="51" t="b">
        <x:v>0</x:v>
      </x:c>
      <x:c r="I400" s="51" t="b">
        <x:v>0</x:v>
      </x:c>
      <x:c r="J400" s="51" t="b">
        <x:v>0</x:v>
      </x:c>
      <x:c r="K400" s="51" t="b">
        <x:v>0</x:v>
      </x:c>
      <x:c r="L400" s="51" t="b">
        <x:v>0</x:v>
      </x:c>
      <x:c r="M400" s="51" t="b">
        <x:v>0</x:v>
      </x:c>
      <x:c r="N400" s="51" t="b">
        <x:v>0</x:v>
      </x:c>
    </x:row>
    <x:row r="401">
      <x:c r="A401" t="str">
        <x:v>SBIN</x:v>
      </x:c>
      <x:c r="B401" s="52" t="n">
        <x:v>42439</x:v>
      </x:c>
      <x:c r="C401" s="53" t="n">
        <x:v>180.5</x:v>
      </x:c>
      <x:c r="D401" s="46" t="n">
        <x:v>0.09418282548476453</x:v>
      </x:c>
      <x:c r="E401" s="46" t="n">
        <x:v>0.04321329639889204</x:v>
      </x:c>
      <x:c r="F401" t="n">
        <x:v>7</x:v>
      </x:c>
      <x:c r="G401" s="51" t="b">
        <x:v>0</x:v>
      </x:c>
      <x:c r="H401" s="51" t="b">
        <x:v>0</x:v>
      </x:c>
      <x:c r="I401" s="51" t="b">
        <x:v>0</x:v>
      </x:c>
      <x:c r="J401" s="51" t="b">
        <x:v>0</x:v>
      </x:c>
      <x:c r="K401" s="51" t="b">
        <x:v>0</x:v>
      </x:c>
      <x:c r="L401" s="51" t="b">
        <x:v>0</x:v>
      </x:c>
      <x:c r="M401" s="51" t="b">
        <x:v>1</x:v>
      </x:c>
      <x:c r="N401" s="51" t="b">
        <x:v>0</x:v>
      </x:c>
    </x:row>
    <x:row r="402">
      <x:c r="A402" t="str">
        <x:v>SBIN</x:v>
      </x:c>
      <x:c r="B402" s="52" t="n">
        <x:v>42465</x:v>
      </x:c>
      <x:c r="C402" s="53" t="n">
        <x:v>184.35</x:v>
      </x:c>
      <x:c r="D402" s="46" t="n">
        <x:v>0.08570653647952264</x:v>
      </x:c>
      <x:c r="E402" s="46" t="n">
        <x:v>0.08570653647952264</x:v>
      </x:c>
      <x:c r="F402" t="n">
        <x:v>10</x:v>
      </x:c>
      <x:c r="G402" s="51" t="b">
        <x:v>0</x:v>
      </x:c>
      <x:c r="H402" s="51" t="b">
        <x:v>0</x:v>
      </x:c>
      <x:c r="I402" s="51" t="b">
        <x:v>0</x:v>
      </x:c>
      <x:c r="J402" s="51" t="b">
        <x:v>0</x:v>
      </x:c>
      <x:c r="K402" s="51" t="b">
        <x:v>0</x:v>
      </x:c>
      <x:c r="L402" s="51" t="b">
        <x:v>0</x:v>
      </x:c>
      <x:c r="M402" s="51" t="b">
        <x:v>1</x:v>
      </x:c>
      <x:c r="N402" s="51" t="b">
        <x:v>0</x:v>
      </x:c>
    </x:row>
    <x:row r="403">
      <x:c r="A403" t="str">
        <x:v>SBIN</x:v>
      </x:c>
      <x:c r="B403" s="52" t="n">
        <x:v>42506</x:v>
      </x:c>
      <x:c r="C403" s="53" t="n">
        <x:v>176.8</x:v>
      </x:c>
      <x:c r="D403" s="46" t="n">
        <x:v>0.12471719457013575</x:v>
      </x:c>
      <x:c r="E403" s="46" t="n">
        <x:v>0.12471719457013575</x:v>
      </x:c>
      <x:c r="F403" t="n">
        <x:v>9</x:v>
      </x:c>
      <x:c r="G403" s="51" t="b">
        <x:v>0</x:v>
      </x:c>
      <x:c r="H403" s="51" t="b">
        <x:v>0</x:v>
      </x:c>
      <x:c r="I403" s="51" t="b">
        <x:v>0</x:v>
      </x:c>
      <x:c r="J403" s="51" t="b">
        <x:v>0</x:v>
      </x:c>
      <x:c r="K403" s="51" t="b">
        <x:v>0</x:v>
      </x:c>
      <x:c r="L403" s="51" t="b">
        <x:v>1</x:v>
      </x:c>
      <x:c r="M403" s="51" t="b">
        <x:v>1</x:v>
      </x:c>
      <x:c r="N403" s="51" t="b">
        <x:v>0</x:v>
      </x:c>
    </x:row>
    <x:row r="404">
      <x:c r="A404" t="str">
        <x:v>SBIN</x:v>
      </x:c>
      <x:c r="B404" s="52" t="n">
        <x:v>42583</x:v>
      </x:c>
      <x:c r="C404" s="53" t="n">
        <x:v>227.3</x:v>
      </x:c>
      <x:c r="D404" s="46" t="n">
        <x:v>0.08556973163220416</x:v>
      </x:c>
      <x:c r="E404" s="46" t="n">
        <x:v>0.08556973163220416</x:v>
      </x:c>
      <x:c r="F404" t="n">
        <x:v>10</x:v>
      </x:c>
      <x:c r="G404" s="51" t="b">
        <x:v>0</x:v>
      </x:c>
      <x:c r="H404" s="51" t="b">
        <x:v>0</x:v>
      </x:c>
      <x:c r="I404" s="51" t="b">
        <x:v>0</x:v>
      </x:c>
      <x:c r="J404" s="51" t="b">
        <x:v>0</x:v>
      </x:c>
      <x:c r="K404" s="51" t="b">
        <x:v>0</x:v>
      </x:c>
      <x:c r="L404" s="51" t="b">
        <x:v>1</x:v>
      </x:c>
      <x:c r="M404" s="51" t="b">
        <x:v>1</x:v>
      </x:c>
      <x:c r="N404" s="51" t="b">
        <x:v>0</x:v>
      </x:c>
    </x:row>
    <x:row r="405">
      <x:c r="A405" t="str">
        <x:v>SBIN</x:v>
      </x:c>
      <x:c r="B405" s="52" t="n">
        <x:v>42608</x:v>
      </x:c>
      <x:c r="C405" s="53" t="n">
        <x:v>246.6</x:v>
      </x:c>
      <x:c r="D405" s="46" t="n">
        <x:v>0.08819951338199528</x:v>
      </x:c>
      <x:c r="E405" s="46" t="n">
        <x:v>0.024939172749391725</x:v>
      </x:c>
      <x:c r="F405" t="n">
        <x:v>7</x:v>
      </x:c>
      <x:c r="G405" s="51" t="b">
        <x:v>0</x:v>
      </x:c>
      <x:c r="H405" s="51" t="b">
        <x:v>0</x:v>
      </x:c>
      <x:c r="I405" s="51" t="b">
        <x:v>0</x:v>
      </x:c>
      <x:c r="J405" s="51" t="b">
        <x:v>0</x:v>
      </x:c>
      <x:c r="K405" s="51" t="b">
        <x:v>1</x:v>
      </x:c>
      <x:c r="L405" s="51" t="b">
        <x:v>1</x:v>
      </x:c>
      <x:c r="M405" s="51" t="b">
        <x:v>1</x:v>
      </x:c>
      <x:c r="N405" s="51" t="b">
        <x:v>0</x:v>
      </x:c>
    </x:row>
    <x:row r="406">
      <x:c r="A406" t="str">
        <x:v>SBIN</x:v>
      </x:c>
      <x:c r="B406" s="52" t="n">
        <x:v>42670</x:v>
      </x:c>
      <x:c r="C406" s="53" t="n">
        <x:v>255.4</x:v>
      </x:c>
      <x:c r="D406" s="46" t="n">
        <x:v>0.10140955364134685</x:v>
      </x:c>
      <x:c r="E406" s="46" t="n">
        <x:v>0.10140955364134685</x:v>
      </x:c>
      <x:c r="F406" t="n">
        <x:v>10</x:v>
      </x:c>
      <x:c r="G406" s="51" t="b">
        <x:v>0</x:v>
      </x:c>
      <x:c r="H406" s="51" t="b">
        <x:v>0</x:v>
      </x:c>
      <x:c r="I406" s="51" t="b">
        <x:v>1</x:v>
      </x:c>
      <x:c r="J406" s="51" t="b">
        <x:v>0</x:v>
      </x:c>
      <x:c r="K406" s="51" t="b">
        <x:v>0</x:v>
      </x:c>
      <x:c r="L406" s="51" t="b">
        <x:v>0</x:v>
      </x:c>
      <x:c r="M406" s="51" t="b">
        <x:v>1</x:v>
      </x:c>
      <x:c r="N406" s="51" t="b">
        <x:v>0</x:v>
      </x:c>
    </x:row>
    <x:row r="407">
      <x:c r="A407" t="str">
        <x:v>SBIN</x:v>
      </x:c>
      <x:c r="B407" s="52" t="n">
        <x:v>42755</x:v>
      </x:c>
      <x:c r="C407" s="53" t="n">
        <x:v>251.05</x:v>
      </x:c>
      <x:c r="D407" s="46" t="n">
        <x:v>0.10555666201951808</x:v>
      </x:c>
      <x:c r="E407" s="46" t="n">
        <x:v>0.10356502688707425</x:v>
      </x:c>
      <x:c r="F407" t="n">
        <x:v>8</x:v>
      </x:c>
      <x:c r="G407" s="51" t="b">
        <x:v>0</x:v>
      </x:c>
      <x:c r="H407" s="51" t="b">
        <x:v>0</x:v>
      </x:c>
      <x:c r="I407" s="51" t="b">
        <x:v>0</x:v>
      </x:c>
      <x:c r="J407" s="51" t="b">
        <x:v>0</x:v>
      </x:c>
      <x:c r="K407" s="51" t="b">
        <x:v>0</x:v>
      </x:c>
      <x:c r="L407" s="51" t="b">
        <x:v>1</x:v>
      </x:c>
      <x:c r="M407" s="51" t="b">
        <x:v>1</x:v>
      </x:c>
      <x:c r="N407" s="51" t="b">
        <x:v>0</x:v>
      </x:c>
    </x:row>
    <x:row r="408">
      <x:c r="A408" t="str">
        <x:v>SBIN</x:v>
      </x:c>
      <x:c r="B408" s="52" t="n">
        <x:v>42815</x:v>
      </x:c>
      <x:c r="C408" s="53" t="n">
        <x:v>272.35</x:v>
      </x:c>
      <x:c r="D408" s="46" t="n">
        <x:v>0.09179364787956668</x:v>
      </x:c>
      <x:c r="E408" s="46" t="n">
        <x:v>0.09179364787956668</x:v>
      </x:c>
      <x:c r="F408" t="n">
        <x:v>10</x:v>
      </x:c>
      <x:c r="G408" s="51" t="b">
        <x:v>0</x:v>
      </x:c>
      <x:c r="H408" s="51" t="b">
        <x:v>0</x:v>
      </x:c>
      <x:c r="I408" s="51" t="b">
        <x:v>0</x:v>
      </x:c>
      <x:c r="J408" s="51" t="b">
        <x:v>0</x:v>
      </x:c>
      <x:c r="K408" s="51" t="b">
        <x:v>0</x:v>
      </x:c>
      <x:c r="L408" s="51" t="b">
        <x:v>0</x:v>
      </x:c>
      <x:c r="M408" s="51" t="b">
        <x:v>1</x:v>
      </x:c>
      <x:c r="N408" s="51" t="b">
        <x:v>0</x:v>
      </x:c>
    </x:row>
    <x:row r="409">
      <x:c r="A409" t="str">
        <x:v>SBIN</x:v>
      </x:c>
      <x:c r="B409" s="52" t="n">
        <x:v>43018</x:v>
      </x:c>
      <x:c r="C409" s="53" t="n">
        <x:v>256.95</x:v>
      </x:c>
      <x:c r="D409" s="46" t="n">
        <x:v>0.2644483362521892</x:v>
      </x:c>
      <x:c r="E409" s="46" t="n">
        <x:v>0.2644483362521892</x:v>
      </x:c>
      <x:c r="F409" t="n">
        <x:v>10</x:v>
      </x:c>
      <x:c r="G409" s="51" t="b">
        <x:v>0</x:v>
      </x:c>
      <x:c r="H409" s="51" t="b">
        <x:v>0</x:v>
      </x:c>
      <x:c r="I409" s="51" t="b">
        <x:v>1</x:v>
      </x:c>
      <x:c r="J409" s="51" t="b">
        <x:v>0</x:v>
      </x:c>
      <x:c r="K409" s="51" t="b">
        <x:v>0</x:v>
      </x:c>
      <x:c r="L409" s="51" t="b">
        <x:v>1</x:v>
      </x:c>
      <x:c r="M409" s="51" t="b">
        <x:v>1</x:v>
      </x:c>
      <x:c r="N409" s="51" t="b">
        <x:v>0</x:v>
      </x:c>
    </x:row>
    <x:row r="410">
      <x:c r="A410" t="str">
        <x:v>SBIN</x:v>
      </x:c>
      <x:c r="B410" s="52" t="n">
        <x:v>43047</x:v>
      </x:c>
      <x:c r="C410" s="53" t="n">
        <x:v>309.55</x:v>
      </x:c>
      <x:c r="D410" s="46" t="n">
        <x:v>0.09029235987724116</x:v>
      </x:c>
      <x:c r="E410" s="46" t="n">
        <x:v>0.0831852689387822</x:v>
      </x:c>
      <x:c r="F410" t="n">
        <x:v>7</x:v>
      </x:c>
      <x:c r="G410" s="51" t="b">
        <x:v>0</x:v>
      </x:c>
      <x:c r="H410" s="51" t="b">
        <x:v>0</x:v>
      </x:c>
      <x:c r="I410" s="51" t="b">
        <x:v>0</x:v>
      </x:c>
      <x:c r="J410" s="51" t="b">
        <x:v>0</x:v>
      </x:c>
      <x:c r="K410" s="51" t="b">
        <x:v>0</x:v>
      </x:c>
      <x:c r="L410" s="51" t="b">
        <x:v>0</x:v>
      </x:c>
      <x:c r="M410" s="51" t="b">
        <x:v>1</x:v>
      </x:c>
      <x:c r="N410" s="51" t="b">
        <x:v>0</x:v>
      </x:c>
    </x:row>
    <x:row r="411">
      <x:c r="A411" t="str">
        <x:v>SBIN</x:v>
      </x:c>
      <x:c r="B411" s="52" t="n">
        <x:v>43110</x:v>
      </x:c>
      <x:c r="C411" s="53" t="n">
        <x:v>301.1</x:v>
      </x:c>
      <x:c r="D411" s="46" t="n">
        <x:v>0.09564928595151101</x:v>
      </x:c>
      <x:c r="E411" s="46" t="n">
        <x:v>0.09564928595151101</x:v>
      </x:c>
      <x:c r="F411" t="n">
        <x:v>10</x:v>
      </x:c>
      <x:c r="G411" s="51" t="b">
        <x:v>0</x:v>
      </x:c>
      <x:c r="H411" s="51" t="b">
        <x:v>0</x:v>
      </x:c>
      <x:c r="I411" s="51" t="b">
        <x:v>0</x:v>
      </x:c>
      <x:c r="J411" s="51" t="b">
        <x:v>0</x:v>
      </x:c>
      <x:c r="K411" s="51" t="b">
        <x:v>0</x:v>
      </x:c>
      <x:c r="L411" s="51" t="b">
        <x:v>0</x:v>
      </x:c>
      <x:c r="M411" s="51" t="b">
        <x:v>1</x:v>
      </x:c>
      <x:c r="N411" s="51" t="b">
        <x:v>1</x:v>
      </x:c>
    </x:row>
    <x:row r="412">
      <x:c r="A412" t="str">
        <x:v>SBIN</x:v>
      </x:c>
      <x:c r="B412" s="52" t="n">
        <x:v>43182</x:v>
      </x:c>
      <x:c r="C412" s="53" t="n">
        <x:v>234.8</x:v>
      </x:c>
      <x:c r="D412" s="46" t="n">
        <x:v>0.1213798977853493</x:v>
      </x:c>
      <x:c r="E412" s="46" t="n">
        <x:v>0.1213798977853493</x:v>
      </x:c>
      <x:c r="F412" t="n">
        <x:v>2</x:v>
      </x:c>
      <x:c r="G412" s="51" t="b">
        <x:v>0</x:v>
      </x:c>
      <x:c r="H412" s="51" t="b">
        <x:v>0</x:v>
      </x:c>
      <x:c r="I412" s="51" t="b">
        <x:v>0</x:v>
      </x:c>
      <x:c r="J412" s="51" t="b">
        <x:v>0</x:v>
      </x:c>
      <x:c r="K412" s="51" t="b">
        <x:v>0</x:v>
      </x:c>
      <x:c r="L412" s="51" t="b">
        <x:v>1</x:v>
      </x:c>
      <x:c r="M412" s="51" t="b">
        <x:v>0</x:v>
      </x:c>
      <x:c r="N412" s="51" t="b">
        <x:v>1</x:v>
      </x:c>
    </x:row>
    <x:row r="413">
      <x:c r="A413" t="str">
        <x:v>SBIN</x:v>
      </x:c>
      <x:c r="B413" s="52" t="n">
        <x:v>43230</x:v>
      </x:c>
      <x:c r="C413" s="53" t="n">
        <x:v>247.95</x:v>
      </x:c>
      <x:c r="D413" s="46" t="n">
        <x:v>0.08287961282516632</x:v>
      </x:c>
      <x:c r="E413" s="46" t="n">
        <x:v>0.08287961282516632</x:v>
      </x:c>
      <x:c r="F413" t="n">
        <x:v>10</x:v>
      </x:c>
      <x:c r="G413" s="51" t="b">
        <x:v>0</x:v>
      </x:c>
      <x:c r="H413" s="51" t="b">
        <x:v>0</x:v>
      </x:c>
      <x:c r="I413" s="51" t="b">
        <x:v>0</x:v>
      </x:c>
      <x:c r="J413" s="51" t="b">
        <x:v>0</x:v>
      </x:c>
      <x:c r="K413" s="51" t="b">
        <x:v>0</x:v>
      </x:c>
      <x:c r="L413" s="51" t="b">
        <x:v>0</x:v>
      </x:c>
      <x:c r="M413" s="51" t="b">
        <x:v>1</x:v>
      </x:c>
      <x:c r="N413" s="51" t="b">
        <x:v>1</x:v>
      </x:c>
    </x:row>
    <x:row r="414">
      <x:c r="A414" t="str">
        <x:v>SBIN</x:v>
      </x:c>
      <x:c r="B414" s="52" t="n">
        <x:v>43255</x:v>
      </x:c>
      <x:c r="C414" s="53" t="n">
        <x:v>263</x:v>
      </x:c>
      <x:c r="D414" s="46" t="n">
        <x:v>0.09391634980988584</x:v>
      </x:c>
      <x:c r="E414" s="46" t="n">
        <x:v>0.05266159695817496</x:v>
      </x:c>
      <x:c r="F414" t="n">
        <x:v>7</x:v>
      </x:c>
      <x:c r="G414" s="51" t="b">
        <x:v>0</x:v>
      </x:c>
      <x:c r="H414" s="51" t="b">
        <x:v>0</x:v>
      </x:c>
      <x:c r="I414" s="51" t="b">
        <x:v>1</x:v>
      </x:c>
      <x:c r="J414" s="51" t="b">
        <x:v>0</x:v>
      </x:c>
      <x:c r="K414" s="51" t="b">
        <x:v>1</x:v>
      </x:c>
      <x:c r="L414" s="51" t="b">
        <x:v>0</x:v>
      </x:c>
      <x:c r="M414" s="51" t="b">
        <x:v>0</x:v>
      </x:c>
      <x:c r="N414" s="51" t="b">
        <x:v>1</x:v>
      </x:c>
    </x:row>
    <x:row r="415">
      <x:c r="A415" t="str">
        <x:v>SBIN</x:v>
      </x:c>
      <x:c r="B415" s="52" t="n">
        <x:v>43293</x:v>
      </x:c>
      <x:c r="C415" s="53" t="n">
        <x:v>262.75</x:v>
      </x:c>
      <x:c r="D415" s="46" t="n">
        <x:v>0.09495718363463368</x:v>
      </x:c>
      <x:c r="E415" s="46" t="n">
        <x:v>0.09495718363463368</x:v>
      </x:c>
      <x:c r="F415" t="n">
        <x:v>10</x:v>
      </x:c>
      <x:c r="G415" s="51" t="b">
        <x:v>0</x:v>
      </x:c>
      <x:c r="H415" s="51" t="b">
        <x:v>0</x:v>
      </x:c>
      <x:c r="I415" s="51" t="b">
        <x:v>0</x:v>
      </x:c>
      <x:c r="J415" s="51" t="b">
        <x:v>0</x:v>
      </x:c>
      <x:c r="K415" s="51" t="b">
        <x:v>0</x:v>
      </x:c>
      <x:c r="L415" s="51" t="b">
        <x:v>0</x:v>
      </x:c>
      <x:c r="M415" s="51" t="b">
        <x:v>1</x:v>
      </x:c>
      <x:c r="N415" s="51" t="b">
        <x:v>1</x:v>
      </x:c>
    </x:row>
    <x:row r="416">
      <x:c r="A416" t="str">
        <x:v>SBIN</x:v>
      </x:c>
      <x:c r="B416" s="52" t="n">
        <x:v>43390</x:v>
      </x:c>
      <x:c r="C416" s="53" t="n">
        <x:v>261.15</x:v>
      </x:c>
      <x:c r="D416" s="46" t="n">
        <x:v>0.09477311889718543</x:v>
      </x:c>
      <x:c r="E416" s="46" t="n">
        <x:v>0.09477311889718543</x:v>
      </x:c>
      <x:c r="F416" t="n">
        <x:v>10</x:v>
      </x:c>
      <x:c r="G416" s="51" t="b">
        <x:v>0</x:v>
      </x:c>
      <x:c r="H416" s="51" t="b">
        <x:v>0</x:v>
      </x:c>
      <x:c r="I416" s="51" t="b">
        <x:v>1</x:v>
      </x:c>
      <x:c r="J416" s="51" t="b">
        <x:v>0</x:v>
      </x:c>
      <x:c r="K416" s="51" t="b">
        <x:v>0</x:v>
      </x:c>
      <x:c r="L416" s="51" t="b">
        <x:v>0</x:v>
      </x:c>
      <x:c r="M416" s="51" t="b">
        <x:v>0</x:v>
      </x:c>
      <x:c r="N416" s="51" t="b">
        <x:v>1</x:v>
      </x:c>
    </x:row>
    <x:row r="417">
      <x:c r="A417" t="str">
        <x:v>SBIN</x:v>
      </x:c>
      <x:c r="B417" s="52" t="n">
        <x:v>43440</x:v>
      </x:c>
      <x:c r="C417" s="53" t="n">
        <x:v>275.65</x:v>
      </x:c>
      <x:c r="D417" s="46" t="n">
        <x:v>0.09087611101033932</x:v>
      </x:c>
      <x:c r="E417" s="46" t="n">
        <x:v>0.06675131507346288</x:v>
      </x:c>
      <x:c r="F417" t="n">
        <x:v>9</x:v>
      </x:c>
      <x:c r="G417" s="51" t="b">
        <x:v>0</x:v>
      </x:c>
      <x:c r="H417" s="51" t="b">
        <x:v>0</x:v>
      </x:c>
      <x:c r="I417" s="51" t="b">
        <x:v>0</x:v>
      </x:c>
      <x:c r="J417" s="51" t="b">
        <x:v>0</x:v>
      </x:c>
      <x:c r="K417" s="51" t="b">
        <x:v>0</x:v>
      </x:c>
      <x:c r="L417" s="51" t="b">
        <x:v>0</x:v>
      </x:c>
      <x:c r="M417" s="51" t="b">
        <x:v>0</x:v>
      </x:c>
      <x:c r="N417" s="51" t="b">
        <x:v>1</x:v>
      </x:c>
    </x:row>
    <x:row r="418">
      <x:c r="A418" t="str">
        <x:v>SBIN</x:v>
      </x:c>
      <x:c r="B418" s="52" t="n">
        <x:v>43522</x:v>
      </x:c>
      <x:c r="C418" s="53" t="n">
        <x:v>266.35</x:v>
      </x:c>
      <x:c r="D418" s="46" t="n">
        <x:v>0.10061948563919643</x:v>
      </x:c>
      <x:c r="E418" s="46" t="n">
        <x:v>0.10061948563919643</x:v>
      </x:c>
      <x:c r="F418" t="n">
        <x:v>10</x:v>
      </x:c>
      <x:c r="G418" s="51" t="b">
        <x:v>0</x:v>
      </x:c>
      <x:c r="H418" s="51" t="b">
        <x:v>0</x:v>
      </x:c>
      <x:c r="I418" s="51" t="b">
        <x:v>0</x:v>
      </x:c>
      <x:c r="J418" s="51" t="b">
        <x:v>0</x:v>
      </x:c>
      <x:c r="K418" s="51" t="b">
        <x:v>0</x:v>
      </x:c>
      <x:c r="L418" s="51" t="b">
        <x:v>0</x:v>
      </x:c>
      <x:c r="M418" s="51" t="b">
        <x:v>0</x:v>
      </x:c>
      <x:c r="N418" s="51" t="b">
        <x:v>1</x:v>
      </x:c>
    </x:row>
    <x:row r="419">
      <x:c r="A419" t="str">
        <x:v>SBIN</x:v>
      </x:c>
      <x:c r="B419" s="52" t="n">
        <x:v>43591</x:v>
      </x:c>
      <x:c r="C419" s="53" t="n">
        <x:v>308.75</x:v>
      </x:c>
      <x:c r="D419" s="46" t="n">
        <x:v>0.11643724696356261</x:v>
      </x:c>
      <x:c r="E419" s="46" t="n">
        <x:v>0.11643724696356261</x:v>
      </x:c>
      <x:c r="F419" t="n">
        <x:v>10</x:v>
      </x:c>
      <x:c r="G419" s="51" t="b">
        <x:v>0</x:v>
      </x:c>
      <x:c r="H419" s="51" t="b">
        <x:v>0</x:v>
      </x:c>
      <x:c r="I419" s="51" t="b">
        <x:v>0</x:v>
      </x:c>
      <x:c r="J419" s="51" t="b">
        <x:v>0</x:v>
      </x:c>
      <x:c r="K419" s="51" t="b">
        <x:v>0</x:v>
      </x:c>
      <x:c r="L419" s="51" t="b">
        <x:v>0</x:v>
      </x:c>
      <x:c r="M419" s="51" t="b">
        <x:v>1</x:v>
      </x:c>
      <x:c r="N419" s="51" t="b">
        <x:v>0</x:v>
      </x:c>
    </x:row>
    <x:row r="420">
      <x:c r="A420" t="str">
        <x:v>SBIN</x:v>
      </x:c>
      <x:c r="B420" s="52" t="n">
        <x:v>43635</x:v>
      </x:c>
      <x:c r="C420" s="53" t="n">
        <x:v>338.85</x:v>
      </x:c>
      <x:c r="D420" s="46" t="n">
        <x:v>0.08056662239929158</x:v>
      </x:c>
      <x:c r="E420" s="46" t="n">
        <x:v>0.08056662239929158</x:v>
      </x:c>
      <x:c r="F420" t="n">
        <x:v>10</x:v>
      </x:c>
      <x:c r="G420" s="51" t="b">
        <x:v>0</x:v>
      </x:c>
      <x:c r="H420" s="51" t="b">
        <x:v>0</x:v>
      </x:c>
      <x:c r="I420" s="51" t="b">
        <x:v>0</x:v>
      </x:c>
      <x:c r="J420" s="51" t="b">
        <x:v>0</x:v>
      </x:c>
      <x:c r="K420" s="51" t="b">
        <x:v>0</x:v>
      </x:c>
      <x:c r="L420" s="51" t="b">
        <x:v>0</x:v>
      </x:c>
      <x:c r="M420" s="51" t="b">
        <x:v>1</x:v>
      </x:c>
      <x:c r="N420" s="51" t="b">
        <x:v>1</x:v>
      </x:c>
    </x:row>
    <x:row r="421">
      <x:c r="A421" t="str">
        <x:v>SBIN</x:v>
      </x:c>
      <x:c r="B421" s="52" t="n">
        <x:v>43711</x:v>
      </x:c>
      <x:c r="C421" s="53" t="n">
        <x:v>268.4</x:v>
      </x:c>
      <x:c r="D421" s="46" t="n">
        <x:v>0.08681073025335317</x:v>
      </x:c>
      <x:c r="E421" s="46" t="n">
        <x:v>0.04470938897168408</x:v>
      </x:c>
      <x:c r="F421" t="n">
        <x:v>7</x:v>
      </x:c>
      <x:c r="G421" s="51" t="b">
        <x:v>0</x:v>
      </x:c>
      <x:c r="H421" s="51" t="b">
        <x:v>0</x:v>
      </x:c>
      <x:c r="I421" s="51" t="b">
        <x:v>0</x:v>
      </x:c>
      <x:c r="J421" s="51" t="b">
        <x:v>0</x:v>
      </x:c>
      <x:c r="K421" s="51" t="b">
        <x:v>0</x:v>
      </x:c>
      <x:c r="L421" s="51" t="b">
        <x:v>0</x:v>
      </x:c>
      <x:c r="M421" s="51" t="b">
        <x:v>0</x:v>
      </x:c>
      <x:c r="N421" s="51" t="b">
        <x:v>1</x:v>
      </x:c>
    </x:row>
    <x:row r="422">
      <x:c r="A422" t="str">
        <x:v>SBIN</x:v>
      </x:c>
      <x:c r="B422" s="52" t="n">
        <x:v>43742</x:v>
      </x:c>
      <x:c r="C422" s="53" t="n">
        <x:v>249.95</x:v>
      </x:c>
      <x:c r="D422" s="46" t="n">
        <x:v>0.08221644328865785</x:v>
      </x:c>
      <x:c r="E422" s="46" t="n">
        <x:v>0.08221644328865785</x:v>
      </x:c>
      <x:c r="F422" t="n">
        <x:v>10</x:v>
      </x:c>
      <x:c r="G422" s="51" t="b">
        <x:v>0</x:v>
      </x:c>
      <x:c r="H422" s="51" t="b">
        <x:v>0</x:v>
      </x:c>
      <x:c r="I422" s="51" t="b">
        <x:v>1</x:v>
      </x:c>
      <x:c r="J422" s="51" t="b">
        <x:v>0</x:v>
      </x:c>
      <x:c r="K422" s="51" t="b">
        <x:v>0</x:v>
      </x:c>
      <x:c r="L422" s="51" t="b">
        <x:v>0</x:v>
      </x:c>
      <x:c r="M422" s="51" t="b">
        <x:v>0</x:v>
      </x:c>
      <x:c r="N422" s="51" t="b">
        <x:v>1</x:v>
      </x:c>
    </x:row>
    <x:row r="423">
      <x:c r="A423" t="str">
        <x:v>SBIN</x:v>
      </x:c>
      <x:c r="B423" s="52" t="n">
        <x:v>43782</x:v>
      </x:c>
      <x:c r="C423" s="53" t="n">
        <x:v>306.8</x:v>
      </x:c>
      <x:c r="D423" s="46" t="n">
        <x:v>0.11978487614080824</x:v>
      </x:c>
      <x:c r="E423" s="46" t="n">
        <x:v>0.11978487614080824</x:v>
      </x:c>
      <x:c r="F423" t="n">
        <x:v>6</x:v>
      </x:c>
      <x:c r="G423" s="51" t="b">
        <x:v>0</x:v>
      </x:c>
      <x:c r="H423" s="51" t="b">
        <x:v>0</x:v>
      </x:c>
      <x:c r="I423" s="51" t="b">
        <x:v>0</x:v>
      </x:c>
      <x:c r="J423" s="51" t="b">
        <x:v>0</x:v>
      </x:c>
      <x:c r="K423" s="51" t="b">
        <x:v>1</x:v>
      </x:c>
      <x:c r="L423" s="51" t="b">
        <x:v>1</x:v>
      </x:c>
      <x:c r="M423" s="51" t="b">
        <x:v>0</x:v>
      </x:c>
      <x:c r="N423" s="51" t="b">
        <x:v>1</x:v>
      </x:c>
    </x:row>
    <x:row r="424">
      <x:c r="A424" t="str">
        <x:v>SBIN</x:v>
      </x:c>
      <x:c r="B424" s="52" t="n">
        <x:v>43810</x:v>
      </x:c>
      <x:c r="C424" s="53" t="n">
        <x:v>312.8</x:v>
      </x:c>
      <x:c r="D424" s="46" t="n">
        <x:v>0.08008312020460351</x:v>
      </x:c>
      <x:c r="E424" s="46" t="n">
        <x:v>0.05450767263427103</x:v>
      </x:c>
      <x:c r="F424" t="n">
        <x:v>7</x:v>
      </x:c>
      <x:c r="G424" s="51" t="b">
        <x:v>0</x:v>
      </x:c>
      <x:c r="H424" s="51" t="b">
        <x:v>0</x:v>
      </x:c>
      <x:c r="I424" s="51" t="b">
        <x:v>0</x:v>
      </x:c>
      <x:c r="J424" s="51" t="b">
        <x:v>0</x:v>
      </x:c>
      <x:c r="K424" s="51" t="b">
        <x:v>0</x:v>
      </x:c>
      <x:c r="L424" s="51" t="b">
        <x:v>0</x:v>
      </x:c>
      <x:c r="M424" s="51" t="b">
        <x:v>0</x:v>
      </x:c>
      <x:c r="N424" s="51" t="b">
        <x:v>1</x:v>
      </x:c>
    </x:row>
    <x:row r="425">
      <x:c r="A425" t="str">
        <x:v>SBIN</x:v>
      </x:c>
      <x:c r="B425" s="52" t="n">
        <x:v>43862</x:v>
      </x:c>
      <x:c r="C425" s="53" t="n">
        <x:v>302.6</x:v>
      </x:c>
      <x:c r="D425" s="46" t="n">
        <x:v>0.08212161269001972</x:v>
      </x:c>
      <x:c r="E425" s="46" t="n">
        <x:v>0.055518836748182254</x:v>
      </x:c>
      <x:c r="F425" t="n">
        <x:v>9</x:v>
      </x:c>
      <x:c r="G425" s="51" t="b">
        <x:v>0</x:v>
      </x:c>
      <x:c r="H425" s="51" t="b">
        <x:v>0</x:v>
      </x:c>
      <x:c r="I425" s="51" t="b">
        <x:v>0</x:v>
      </x:c>
      <x:c r="J425" s="51" t="b">
        <x:v>0</x:v>
      </x:c>
      <x:c r="K425" s="51" t="b">
        <x:v>0</x:v>
      </x:c>
      <x:c r="L425" s="51" t="b">
        <x:v>0</x:v>
      </x:c>
      <x:c r="M425" s="51" t="b">
        <x:v>0</x:v>
      </x:c>
      <x:c r="N425" s="51" t="b">
        <x:v>1</x:v>
      </x:c>
    </x:row>
    <x:row r="426">
      <x:c r="A426" t="str">
        <x:v>SBIN</x:v>
      </x:c>
      <x:c r="B426" s="52" t="n">
        <x:v>43902</x:v>
      </x:c>
      <x:c r="C426" s="53" t="n">
        <x:v>212.6</x:v>
      </x:c>
      <x:c r="D426" s="46" t="n">
        <x:v>0.13828786453433684</x:v>
      </x:c>
      <x:c r="E426" s="46" t="n">
        <x:v>-0.0933678269049859</x:v>
      </x:c>
      <x:c r="F426" t="n">
        <x:v>1</x:v>
      </x:c>
      <x:c r="G426" s="51" t="b">
        <x:v>0</x:v>
      </x:c>
      <x:c r="H426" s="51" t="b">
        <x:v>0</x:v>
      </x:c>
      <x:c r="I426" s="51" t="b">
        <x:v>0</x:v>
      </x:c>
      <x:c r="J426" s="51" t="b">
        <x:v>0</x:v>
      </x:c>
      <x:c r="K426" s="51" t="b">
        <x:v>0</x:v>
      </x:c>
      <x:c r="L426" s="51" t="b">
        <x:v>1</x:v>
      </x:c>
      <x:c r="M426" s="51" t="b">
        <x:v>0</x:v>
      </x:c>
      <x:c r="N426" s="51" t="b">
        <x:v>0</x:v>
      </x:c>
    </x:row>
    <x:row r="427">
      <x:c r="A427" t="str">
        <x:v>SBIN</x:v>
      </x:c>
      <x:c r="B427" s="52" t="n">
        <x:v>43913</x:v>
      </x:c>
      <x:c r="C427" s="53" t="n">
        <x:v>181.6</x:v>
      </x:c>
      <x:c r="D427" s="46" t="n">
        <x:v>0.0839757709251101</x:v>
      </x:c>
      <x:c r="E427" s="46" t="n">
        <x:v>0.007709251101321701</x:v>
      </x:c>
      <x:c r="F427" t="n">
        <x:v>6</x:v>
      </x:c>
      <x:c r="G427" s="51" t="b">
        <x:v>0</x:v>
      </x:c>
      <x:c r="H427" s="51" t="b">
        <x:v>0</x:v>
      </x:c>
      <x:c r="I427" s="51" t="b">
        <x:v>0</x:v>
      </x:c>
      <x:c r="J427" s="51" t="b">
        <x:v>0</x:v>
      </x:c>
      <x:c r="K427" s="51" t="b">
        <x:v>0</x:v>
      </x:c>
      <x:c r="L427" s="51" t="b">
        <x:v>1</x:v>
      </x:c>
      <x:c r="M427" s="51" t="b">
        <x:v>0</x:v>
      </x:c>
      <x:c r="N427" s="51" t="b">
        <x:v>0</x:v>
      </x:c>
    </x:row>
    <x:row r="428">
      <x:c r="A428" t="str">
        <x:v>SBIN</x:v>
      </x:c>
      <x:c r="B428" s="52" t="n">
        <x:v>43924</x:v>
      </x:c>
      <x:c r="C428" s="53" t="n">
        <x:v>175.5</x:v>
      </x:c>
      <x:c r="D428" s="46" t="n">
        <x:v>0.10113960113960108</x:v>
      </x:c>
      <x:c r="E428" s="46" t="n">
        <x:v>0.07521367521367517</x:v>
      </x:c>
      <x:c r="F428" t="n">
        <x:v>7</x:v>
      </x:c>
      <x:c r="G428" s="51" t="b">
        <x:v>0</x:v>
      </x:c>
      <x:c r="H428" s="51" t="b">
        <x:v>0</x:v>
      </x:c>
      <x:c r="I428" s="51" t="b">
        <x:v>0</x:v>
      </x:c>
      <x:c r="J428" s="51" t="b">
        <x:v>0</x:v>
      </x:c>
      <x:c r="K428" s="51" t="b">
        <x:v>0</x:v>
      </x:c>
      <x:c r="L428" s="51" t="b">
        <x:v>1</x:v>
      </x:c>
      <x:c r="M428" s="51" t="b">
        <x:v>0</x:v>
      </x:c>
      <x:c r="N428" s="51" t="b">
        <x:v>0</x:v>
      </x:c>
    </x:row>
    <x:row r="429">
      <x:c r="A429" t="str">
        <x:v>SBIN</x:v>
      </x:c>
      <x:c r="B429" s="52" t="n">
        <x:v>43969</x:v>
      </x:c>
      <x:c r="C429" s="53" t="n">
        <x:v>155.3</x:v>
      </x:c>
      <x:c r="D429" s="46" t="n">
        <x:v>0.09626529298132636</x:v>
      </x:c>
      <x:c r="E429" s="46" t="n">
        <x:v>0.09626529298132636</x:v>
      </x:c>
      <x:c r="F429" t="n">
        <x:v>9</x:v>
      </x:c>
      <x:c r="G429" s="51" t="b">
        <x:v>0</x:v>
      </x:c>
      <x:c r="H429" s="51" t="b">
        <x:v>0</x:v>
      </x:c>
      <x:c r="I429" s="51" t="b">
        <x:v>0</x:v>
      </x:c>
      <x:c r="J429" s="51" t="b">
        <x:v>0</x:v>
      </x:c>
      <x:c r="K429" s="51" t="b">
        <x:v>0</x:v>
      </x:c>
      <x:c r="L429" s="51" t="b">
        <x:v>1</x:v>
      </x:c>
      <x:c r="M429" s="51" t="b">
        <x:v>0</x:v>
      </x:c>
      <x:c r="N429" s="51" t="b">
        <x:v>0</x:v>
      </x:c>
    </x:row>
    <x:row r="430">
      <x:c r="A430" t="str">
        <x:v>SBIN</x:v>
      </x:c>
      <x:c r="B430" s="52" t="n">
        <x:v>43993</x:v>
      </x:c>
      <x:c r="C430" s="53" t="n">
        <x:v>177.15</x:v>
      </x:c>
      <x:c r="D430" s="46" t="n">
        <x:v>0.08636748518204906</x:v>
      </x:c>
      <x:c r="E430" s="46" t="n">
        <x:v>0.04572396274343782</x:v>
      </x:c>
      <x:c r="F430" t="n">
        <x:v>8</x:v>
      </x:c>
      <x:c r="G430" s="51" t="b">
        <x:v>0</x:v>
      </x:c>
      <x:c r="H430" s="51" t="b">
        <x:v>0</x:v>
      </x:c>
      <x:c r="I430" s="51" t="b">
        <x:v>0</x:v>
      </x:c>
      <x:c r="J430" s="51" t="b">
        <x:v>0</x:v>
      </x:c>
      <x:c r="K430" s="51" t="b">
        <x:v>0</x:v>
      </x:c>
      <x:c r="L430" s="51" t="b">
        <x:v>0</x:v>
      </x:c>
      <x:c r="M430" s="51" t="b">
        <x:v>1</x:v>
      </x:c>
      <x:c r="N430" s="51" t="b">
        <x:v>0</x:v>
      </x:c>
    </x:row>
    <x:row r="431">
      <x:c r="A431" t="str">
        <x:v>SBIN</x:v>
      </x:c>
      <x:c r="B431" s="52" t="n">
        <x:v>44011</x:v>
      </x:c>
      <x:c r="C431" s="53" t="n">
        <x:v>179.25</x:v>
      </x:c>
      <x:c r="D431" s="46" t="n">
        <x:v>0.11073919107391905</x:v>
      </x:c>
      <x:c r="E431" s="46" t="n">
        <x:v>0.07503486750348665</x:v>
      </x:c>
      <x:c r="F431" t="n">
        <x:v>8</x:v>
      </x:c>
      <x:c r="G431" s="51" t="b">
        <x:v>0</x:v>
      </x:c>
      <x:c r="H431" s="51" t="b">
        <x:v>0</x:v>
      </x:c>
      <x:c r="I431" s="51" t="b">
        <x:v>0</x:v>
      </x:c>
      <x:c r="J431" s="51" t="b">
        <x:v>0</x:v>
      </x:c>
      <x:c r="K431" s="51" t="b">
        <x:v>1</x:v>
      </x:c>
      <x:c r="L431" s="51" t="b">
        <x:v>1</x:v>
      </x:c>
      <x:c r="M431" s="51" t="b">
        <x:v>0</x:v>
      </x:c>
      <x:c r="N431" s="51" t="b">
        <x:v>0</x:v>
      </x:c>
    </x:row>
    <x:row r="432">
      <x:c r="A432" t="str">
        <x:v>SBIN</x:v>
      </x:c>
      <x:c r="B432" s="52" t="n">
        <x:v>44042</x:v>
      </x:c>
      <x:c r="C432" s="53" t="n">
        <x:v>186.55</x:v>
      </x:c>
      <x:c r="D432" s="46" t="n">
        <x:v>0.0897882605199678</x:v>
      </x:c>
      <x:c r="E432" s="46" t="n">
        <x:v>0.08228357008844811</x:v>
      </x:c>
      <x:c r="F432" t="n">
        <x:v>9</x:v>
      </x:c>
      <x:c r="G432" s="51" t="b">
        <x:v>0</x:v>
      </x:c>
      <x:c r="H432" s="51" t="b">
        <x:v>0</x:v>
      </x:c>
      <x:c r="I432" s="51" t="b">
        <x:v>0</x:v>
      </x:c>
      <x:c r="J432" s="51" t="b">
        <x:v>0</x:v>
      </x:c>
      <x:c r="K432" s="51" t="b">
        <x:v>0</x:v>
      </x:c>
      <x:c r="L432" s="51" t="b">
        <x:v>1</x:v>
      </x:c>
      <x:c r="M432" s="51" t="b">
        <x:v>1</x:v>
      </x:c>
      <x:c r="N432" s="51" t="b">
        <x:v>0</x:v>
      </x:c>
    </x:row>
    <x:row r="433">
      <x:c r="A433" t="str">
        <x:v>SBIN</x:v>
      </x:c>
      <x:c r="B433" s="52" t="n">
        <x:v>44057</x:v>
      </x:c>
      <x:c r="C433" s="53" t="n">
        <x:v>196.5</x:v>
      </x:c>
      <x:c r="D433" s="46" t="n">
        <x:v>0.14427480916030522</x:v>
      </x:c>
      <x:c r="E433" s="46" t="n">
        <x:v>0.14427480916030522</x:v>
      </x:c>
      <x:c r="F433" t="n">
        <x:v>9</x:v>
      </x:c>
      <x:c r="G433" s="51" t="b">
        <x:v>0</x:v>
      </x:c>
      <x:c r="H433" s="51" t="b">
        <x:v>0</x:v>
      </x:c>
      <x:c r="I433" s="51" t="b">
        <x:v>0</x:v>
      </x:c>
      <x:c r="J433" s="51" t="b">
        <x:v>0</x:v>
      </x:c>
      <x:c r="K433" s="51" t="b">
        <x:v>0</x:v>
      </x:c>
      <x:c r="L433" s="51" t="b">
        <x:v>1</x:v>
      </x:c>
      <x:c r="M433" s="51" t="b">
        <x:v>1</x:v>
      </x:c>
      <x:c r="N433" s="51" t="b">
        <x:v>0</x:v>
      </x:c>
    </x:row>
    <x:row r="434">
      <x:c r="A434" t="str">
        <x:v>SBIN</x:v>
      </x:c>
      <x:c r="B434" s="52" t="n">
        <x:v>44098</x:v>
      </x:c>
      <x:c r="C434" s="53" t="n">
        <x:v>176.35</x:v>
      </x:c>
      <x:c r="D434" s="46" t="n">
        <x:v>0.12446838673093286</x:v>
      </x:c>
      <x:c r="E434" s="46" t="n">
        <x:v>0.12446838673093286</x:v>
      </x:c>
      <x:c r="F434" t="n">
        <x:v>7</x:v>
      </x:c>
      <x:c r="G434" s="51" t="b">
        <x:v>0</x:v>
      </x:c>
      <x:c r="H434" s="51" t="b">
        <x:v>0</x:v>
      </x:c>
      <x:c r="I434" s="51" t="b">
        <x:v>0</x:v>
      </x:c>
      <x:c r="J434" s="51" t="b">
        <x:v>0</x:v>
      </x:c>
      <x:c r="K434" s="51" t="b">
        <x:v>0</x:v>
      </x:c>
      <x:c r="L434" s="51" t="b">
        <x:v>1</x:v>
      </x:c>
      <x:c r="M434" s="51" t="b">
        <x:v>0</x:v>
      </x:c>
      <x:c r="N434" s="51" t="b">
        <x:v>0</x:v>
      </x:c>
    </x:row>
    <x:row r="435">
      <x:c r="A435" t="str">
        <x:v>SBIN</x:v>
      </x:c>
      <x:c r="B435" s="52" t="n">
        <x:v>44127</x:v>
      </x:c>
      <x:c r="C435" s="53" t="n">
        <x:v>202.8</x:v>
      </x:c>
      <x:c r="D435" s="46" t="n">
        <x:v>0.0808678500986193</x:v>
      </x:c>
      <x:c r="E435" s="46" t="n">
        <x:v>0.0808678500986193</x:v>
      </x:c>
      <x:c r="F435" t="n">
        <x:v>10</x:v>
      </x:c>
      <x:c r="G435" s="51" t="b">
        <x:v>0</x:v>
      </x:c>
      <x:c r="H435" s="51" t="b">
        <x:v>0</x:v>
      </x:c>
      <x:c r="I435" s="51" t="b">
        <x:v>0</x:v>
      </x:c>
      <x:c r="J435" s="51" t="b">
        <x:v>0</x:v>
      </x:c>
      <x:c r="K435" s="51" t="b">
        <x:v>1</x:v>
      </x:c>
      <x:c r="L435" s="51" t="b">
        <x:v>0</x:v>
      </x:c>
      <x:c r="M435" s="51" t="b">
        <x:v>1</x:v>
      </x:c>
      <x:c r="N435" s="51" t="b">
        <x:v>0</x:v>
      </x:c>
    </x:row>
    <x:row r="436">
      <x:c r="A436" t="str">
        <x:v>SBIN</x:v>
      </x:c>
      <x:c r="B436" s="52" t="n">
        <x:v>44186</x:v>
      </x:c>
      <x:c r="C436" s="53" t="n">
        <x:v>254.7</x:v>
      </x:c>
      <x:c r="D436" s="46" t="n">
        <x:v>0.10620337652139766</x:v>
      </x:c>
      <x:c r="E436" s="46" t="n">
        <x:v>0.10620337652139766</x:v>
      </x:c>
      <x:c r="F436" t="n">
        <x:v>4</x:v>
      </x:c>
      <x:c r="G436" s="51" t="b">
        <x:v>0</x:v>
      </x:c>
      <x:c r="H436" s="51" t="b">
        <x:v>0</x:v>
      </x:c>
      <x:c r="I436" s="51" t="b">
        <x:v>0</x:v>
      </x:c>
      <x:c r="J436" s="51" t="b">
        <x:v>0</x:v>
      </x:c>
      <x:c r="K436" s="51" t="b">
        <x:v>0</x:v>
      </x:c>
      <x:c r="L436" s="51" t="b">
        <x:v>1</x:v>
      </x:c>
      <x:c r="M436" s="51" t="b">
        <x:v>1</x:v>
      </x:c>
      <x:c r="N436" s="51" t="b">
        <x:v>0</x:v>
      </x:c>
    </x:row>
    <x:row r="437">
      <x:c r="A437" t="str">
        <x:v>SBIN</x:v>
      </x:c>
      <x:c r="B437" s="52" t="n">
        <x:v>44397</x:v>
      </x:c>
      <x:c r="C437" s="53" t="n">
        <x:v>420.9</x:v>
      </x:c>
      <x:c r="D437" s="46" t="n">
        <x:v>0.08564979805179385</x:v>
      </x:c>
      <x:c r="E437" s="46" t="n">
        <x:v>0.08564979805179385</x:v>
      </x:c>
      <x:c r="F437" t="n">
        <x:v>10</x:v>
      </x:c>
      <x:c r="G437" s="51" t="b">
        <x:v>0</x:v>
      </x:c>
      <x:c r="H437" s="51" t="b">
        <x:v>0</x:v>
      </x:c>
      <x:c r="I437" s="51" t="b">
        <x:v>0</x:v>
      </x:c>
      <x:c r="J437" s="51" t="b">
        <x:v>0</x:v>
      </x:c>
      <x:c r="K437" s="51" t="b">
        <x:v>1</x:v>
      </x:c>
      <x:c r="L437" s="51" t="b">
        <x:v>0</x:v>
      </x:c>
      <x:c r="M437" s="51" t="b">
        <x:v>1</x:v>
      </x:c>
      <x:c r="N437" s="51" t="b">
        <x:v>1</x:v>
      </x:c>
    </x:row>
    <x:row r="438">
      <x:c r="A438" t="str">
        <x:v>SBIN</x:v>
      </x:c>
      <x:c r="B438" s="52" t="n">
        <x:v>44446</x:v>
      </x:c>
      <x:c r="C438" s="53" t="n">
        <x:v>429.1</x:v>
      </x:c>
      <x:c r="D438" s="46" t="n">
        <x:v>0.0806338848753203</x:v>
      </x:c>
      <x:c r="E438" s="46" t="n">
        <x:v>0.022721976229317153</x:v>
      </x:c>
      <x:c r="F438" t="n">
        <x:v>6</x:v>
      </x:c>
      <x:c r="G438" s="51" t="b">
        <x:v>0</x:v>
      </x:c>
      <x:c r="H438" s="51" t="b">
        <x:v>0</x:v>
      </x:c>
      <x:c r="I438" s="51" t="b">
        <x:v>0</x:v>
      </x:c>
      <x:c r="J438" s="51" t="b">
        <x:v>0</x:v>
      </x:c>
      <x:c r="K438" s="51" t="b">
        <x:v>0</x:v>
      </x:c>
      <x:c r="L438" s="51" t="b">
        <x:v>1</x:v>
      </x:c>
      <x:c r="M438" s="51" t="b">
        <x:v>1</x:v>
      </x:c>
      <x:c r="N438" s="51" t="b">
        <x:v>1</x:v>
      </x:c>
    </x:row>
    <x:row r="439">
      <x:c r="A439" t="str">
        <x:v>SBIN</x:v>
      </x:c>
      <x:c r="B439" s="52" t="n">
        <x:v>44467</x:v>
      </x:c>
      <x:c r="C439" s="53" t="n">
        <x:v>444.9</x:v>
      </x:c>
      <x:c r="D439" s="46" t="n">
        <x:v>0.08563722184760625</x:v>
      </x:c>
      <x:c r="E439" s="46" t="n">
        <x:v>0.08563722184760625</x:v>
      </x:c>
      <x:c r="F439" t="n">
        <x:v>10</x:v>
      </x:c>
      <x:c r="G439" s="51" t="b">
        <x:v>0</x:v>
      </x:c>
      <x:c r="H439" s="51" t="b">
        <x:v>0</x:v>
      </x:c>
      <x:c r="I439" s="51" t="b">
        <x:v>0</x:v>
      </x:c>
      <x:c r="J439" s="51" t="b">
        <x:v>0</x:v>
      </x:c>
      <x:c r="K439" s="51" t="b">
        <x:v>1</x:v>
      </x:c>
      <x:c r="L439" s="51" t="b">
        <x:v>0</x:v>
      </x:c>
      <x:c r="M439" s="51" t="b">
        <x:v>1</x:v>
      </x:c>
      <x:c r="N439" s="51" t="b">
        <x:v>1</x:v>
      </x:c>
    </x:row>
    <x:row r="440">
      <x:c r="A440" t="str">
        <x:v>SBIN</x:v>
      </x:c>
      <x:c r="B440" s="52" t="n">
        <x:v>44551</x:v>
      </x:c>
      <x:c r="C440" s="53" t="n">
        <x:v>446</x:v>
      </x:c>
      <x:c r="D440" s="46" t="n">
        <x:v>0.0840807174887892</x:v>
      </x:c>
      <x:c r="E440" s="46" t="n">
        <x:v>0.0840807174887892</x:v>
      </x:c>
      <x:c r="F440" t="n">
        <x:v>10</x:v>
      </x:c>
      <x:c r="G440" s="51" t="b">
        <x:v>0</x:v>
      </x:c>
      <x:c r="H440" s="51" t="b">
        <x:v>0</x:v>
      </x:c>
      <x:c r="I440" s="51" t="b">
        <x:v>0</x:v>
      </x:c>
      <x:c r="J440" s="51" t="b">
        <x:v>0</x:v>
      </x:c>
      <x:c r="K440" s="51" t="b">
        <x:v>0</x:v>
      </x:c>
      <x:c r="L440" s="51" t="b">
        <x:v>1</x:v>
      </x:c>
      <x:c r="M440" s="51" t="b">
        <x:v>1</x:v>
      </x:c>
      <x:c r="N440" s="51" t="b">
        <x:v>1</x:v>
      </x:c>
    </x:row>
    <x:row r="441">
      <x:c r="A441" t="str">
        <x:v>SBIN</x:v>
      </x:c>
      <x:c r="B441" s="52" t="n">
        <x:v>44585</x:v>
      </x:c>
      <x:c r="C441" s="53" t="n">
        <x:v>494.15</x:v>
      </x:c>
      <x:c r="D441" s="46" t="n">
        <x:v>0.0929879591217242</x:v>
      </x:c>
      <x:c r="E441" s="46" t="n">
        <x:v>0.07528078518668435</x:v>
      </x:c>
      <x:c r="F441" t="n">
        <x:v>4</x:v>
      </x:c>
      <x:c r="G441" s="51" t="b">
        <x:v>0</x:v>
      </x:c>
      <x:c r="H441" s="51" t="b">
        <x:v>0</x:v>
      </x:c>
      <x:c r="I441" s="51" t="b">
        <x:v>0</x:v>
      </x:c>
      <x:c r="J441" s="51" t="b">
        <x:v>0</x:v>
      </x:c>
      <x:c r="K441" s="51" t="b">
        <x:v>1</x:v>
      </x:c>
      <x:c r="L441" s="51" t="b">
        <x:v>0</x:v>
      </x:c>
      <x:c r="M441" s="51" t="b">
        <x:v>0</x:v>
      </x:c>
      <x:c r="N441" s="51" t="b">
        <x:v>0</x:v>
      </x:c>
    </x:row>
    <x:row r="442">
      <x:c r="A442" t="str">
        <x:v>SBIN</x:v>
      </x:c>
      <x:c r="B442" s="52" t="n">
        <x:v>44624</x:v>
      </x:c>
      <x:c r="C442" s="53" t="n">
        <x:v>461.95</x:v>
      </x:c>
      <x:c r="D442" s="46" t="n">
        <x:v>0.08648122091135413</x:v>
      </x:c>
      <x:c r="E442" s="46" t="n">
        <x:v>0.06201969910163441</x:v>
      </x:c>
      <x:c r="F442" t="n">
        <x:v>9</x:v>
      </x:c>
      <x:c r="G442" s="51" t="b">
        <x:v>0</x:v>
      </x:c>
      <x:c r="H442" s="51" t="b">
        <x:v>0</x:v>
      </x:c>
      <x:c r="I442" s="51" t="b">
        <x:v>0</x:v>
      </x:c>
      <x:c r="J442" s="51" t="b">
        <x:v>0</x:v>
      </x:c>
      <x:c r="K442" s="51" t="b">
        <x:v>0</x:v>
      </x:c>
      <x:c r="L442" s="51" t="b">
        <x:v>0</x:v>
      </x:c>
      <x:c r="M442" s="51" t="b">
        <x:v>0</x:v>
      </x:c>
      <x:c r="N442" s="51" t="b">
        <x:v>0</x:v>
      </x:c>
    </x:row>
    <x:row r="443">
      <x:c r="A443" t="str">
        <x:v>SBIN</x:v>
      </x:c>
      <x:c r="B443" s="52" t="n">
        <x:v>44732</x:v>
      </x:c>
      <x:c r="C443" s="53" t="n">
        <x:v>434.7</x:v>
      </x:c>
      <x:c r="D443" s="46" t="n">
        <x:v>0.08914193696802397</x:v>
      </x:c>
      <x:c r="E443" s="46" t="n">
        <x:v>0.08914193696802397</x:v>
      </x:c>
      <x:c r="F443" t="n">
        <x:v>10</x:v>
      </x:c>
      <x:c r="G443" s="51" t="b">
        <x:v>0</x:v>
      </x:c>
      <x:c r="H443" s="51" t="b">
        <x:v>0</x:v>
      </x:c>
      <x:c r="I443" s="51" t="b">
        <x:v>0</x:v>
      </x:c>
      <x:c r="J443" s="51" t="b">
        <x:v>0</x:v>
      </x:c>
      <x:c r="K443" s="51" t="b">
        <x:v>0</x:v>
      </x:c>
      <x:c r="L443" s="51" t="b">
        <x:v>0</x:v>
      </x:c>
      <x:c r="M443" s="51" t="b">
        <x:v>0</x:v>
      </x:c>
      <x:c r="N443" s="51" t="b">
        <x:v>0</x:v>
      </x:c>
    </x:row>
    <x:row r="444">
      <x:c r="A444" t="str">
        <x:v>SBIN</x:v>
      </x:c>
      <x:c r="B444" s="52" t="n">
        <x:v>44755</x:v>
      </x:c>
      <x:c r="C444" s="53" t="n">
        <x:v>486.5</x:v>
      </x:c>
      <x:c r="D444" s="46" t="n">
        <x:v>0.08571428571428585</x:v>
      </x:c>
      <x:c r="E444" s="46" t="n">
        <x:v>0.08571428571428585</x:v>
      </x:c>
      <x:c r="F444" t="n">
        <x:v>10</x:v>
      </x:c>
      <x:c r="G444" s="51" t="b">
        <x:v>0</x:v>
      </x:c>
      <x:c r="H444" s="51" t="b">
        <x:v>0</x:v>
      </x:c>
      <x:c r="I444" s="51" t="b">
        <x:v>0</x:v>
      </x:c>
      <x:c r="J444" s="51" t="b">
        <x:v>0</x:v>
      </x:c>
      <x:c r="K444" s="51" t="b">
        <x:v>0</x:v>
      </x:c>
      <x:c r="L444" s="51" t="b">
        <x:v>0</x:v>
      </x:c>
      <x:c r="M444" s="51" t="b">
        <x:v>0</x:v>
      </x:c>
      <x:c r="N444" s="51" t="b">
        <x:v>1</x:v>
      </x:c>
    </x:row>
    <x:row r="445">
      <x:c r="A445" t="str">
        <x:v>SBIN</x:v>
      </x:c>
      <x:c r="B445" s="52" t="n">
        <x:v>44802</x:v>
      </x:c>
      <x:c r="C445" s="53" t="n">
        <x:v>514.85</x:v>
      </x:c>
      <x:c r="D445" s="46" t="n">
        <x:v>0.08381081868505391</x:v>
      </x:c>
      <x:c r="E445" s="46" t="n">
        <x:v>0.08381081868505391</x:v>
      </x:c>
      <x:c r="F445" t="n">
        <x:v>10</x:v>
      </x:c>
      <x:c r="G445" s="51" t="b">
        <x:v>0</x:v>
      </x:c>
      <x:c r="H445" s="51" t="b">
        <x:v>0</x:v>
      </x:c>
      <x:c r="I445" s="51" t="b">
        <x:v>0</x:v>
      </x:c>
      <x:c r="J445" s="51" t="b">
        <x:v>0</x:v>
      </x:c>
      <x:c r="K445" s="51" t="b">
        <x:v>0</x:v>
      </x:c>
      <x:c r="L445" s="51" t="b">
        <x:v>0</x:v>
      </x:c>
      <x:c r="M445" s="51" t="b">
        <x:v>0</x:v>
      </x:c>
      <x:c r="N445" s="51" t="b">
        <x:v>1</x:v>
      </x:c>
    </x:row>
    <x:row r="446">
      <x:c r="A446" t="str">
        <x:v>SBIN</x:v>
      </x:c>
      <x:c r="B446" s="52" t="n">
        <x:v>44837</x:v>
      </x:c>
      <x:c r="C446" s="53" t="n">
        <x:v>519.75</x:v>
      </x:c>
      <x:c r="D446" s="46" t="n">
        <x:v>0.08215488215488231</x:v>
      </x:c>
      <x:c r="E446" s="46" t="n">
        <x:v>0.08215488215488231</x:v>
      </x:c>
      <x:c r="F446" t="n">
        <x:v>10</x:v>
      </x:c>
      <x:c r="G446" s="51" t="b">
        <x:v>0</x:v>
      </x:c>
      <x:c r="H446" s="51" t="b">
        <x:v>0</x:v>
      </x:c>
      <x:c r="I446" s="51" t="b">
        <x:v>0</x:v>
      </x:c>
      <x:c r="J446" s="51" t="b">
        <x:v>0</x:v>
      </x:c>
      <x:c r="K446" s="51" t="b">
        <x:v>0</x:v>
      </x:c>
      <x:c r="L446" s="51" t="b">
        <x:v>0</x:v>
      </x:c>
      <x:c r="M446" s="51" t="b">
        <x:v>0</x:v>
      </x:c>
      <x:c r="N446" s="51" t="b">
        <x:v>0</x:v>
      </x:c>
    </x:row>
    <x:row r="447">
      <x:c r="A447" t="str">
        <x:v>SBIN</x:v>
      </x:c>
      <x:c r="B447" s="52" t="n">
        <x:v>44979</x:v>
      </x:c>
      <x:c r="C447" s="53" t="n">
        <x:v>516.35</x:v>
      </x:c>
      <x:c r="D447" s="46" t="n">
        <x:v>0.09383170330202373</x:v>
      </x:c>
      <x:c r="E447" s="46" t="n">
        <x:v>0.08240534521158116</x:v>
      </x:c>
      <x:c r="F447" t="n">
        <x:v>7</x:v>
      </x:c>
      <x:c r="G447" s="51" t="b">
        <x:v>0</x:v>
      </x:c>
      <x:c r="H447" s="51" t="b">
        <x:v>0</x:v>
      </x:c>
      <x:c r="I447" s="51" t="b">
        <x:v>0</x:v>
      </x:c>
      <x:c r="J447" s="51" t="b">
        <x:v>0</x:v>
      </x:c>
      <x:c r="K447" s="51" t="b">
        <x:v>0</x:v>
      </x:c>
      <x:c r="L447" s="51" t="b">
        <x:v>0</x:v>
      </x:c>
      <x:c r="M447" s="51" t="b">
        <x:v>0</x:v>
      </x:c>
      <x:c r="N447" s="51" t="b">
        <x:v>1</x:v>
      </x:c>
    </x:row>
    <x:row r="448">
      <x:c r="A448" t="str">
        <x:v>SBIN</x:v>
      </x:c>
      <x:c r="B448" s="52" t="n">
        <x:v>45029</x:v>
      </x:c>
      <x:c r="C448" s="53" t="n">
        <x:v>532.95</x:v>
      </x:c>
      <x:c r="D448" s="46" t="n">
        <x:v>0.0850924101698094</x:v>
      </x:c>
      <x:c r="E448" s="46" t="n">
        <x:v>0.0850924101698094</x:v>
      </x:c>
      <x:c r="F448" t="n">
        <x:v>10</x:v>
      </x:c>
      <x:c r="G448" s="51" t="b">
        <x:v>1</x:v>
      </x:c>
      <x:c r="H448" s="51" t="b">
        <x:v>0</x:v>
      </x:c>
      <x:c r="I448" s="51" t="b">
        <x:v>0</x:v>
      </x:c>
      <x:c r="J448" s="51" t="b">
        <x:v>1</x:v>
      </x:c>
      <x:c r="K448" s="51" t="b">
        <x:v>0</x:v>
      </x:c>
      <x:c r="L448" s="51" t="b">
        <x:v>0</x:v>
      </x:c>
      <x:c r="M448" s="51" t="b">
        <x:v>0</x:v>
      </x:c>
      <x:c r="N448" s="51" t="b">
        <x:v>1</x:v>
      </x:c>
    </x:row>
    <x:row r="449">
      <x:c r="A449" t="str">
        <x:v>SBIN</x:v>
      </x:c>
      <x:c r="B449" s="52" t="n">
        <x:v>45251</x:v>
      </x:c>
      <x:c r="C449" s="53" t="n">
        <x:v>561.5</x:v>
      </x:c>
      <x:c r="D449" s="46" t="n">
        <x:v>0.08361531611754236</x:v>
      </x:c>
      <x:c r="E449" s="46" t="n">
        <x:v>0.08361531611754236</x:v>
      </x:c>
      <x:c r="F449" t="n">
        <x:v>9</x:v>
      </x:c>
      <x:c r="G449" s="51" t="b">
        <x:v>0</x:v>
      </x:c>
      <x:c r="H449" s="51" t="b">
        <x:v>0</x:v>
      </x:c>
      <x:c r="I449" s="51" t="b">
        <x:v>0</x:v>
      </x:c>
      <x:c r="J449" s="51" t="b">
        <x:v>0</x:v>
      </x:c>
      <x:c r="K449" s="51" t="b">
        <x:v>0</x:v>
      </x:c>
      <x:c r="L449" s="51" t="b">
        <x:v>1</x:v>
      </x:c>
      <x:c r="M449" s="51" t="b">
        <x:v>0</x:v>
      </x:c>
      <x:c r="N449" s="51" t="b">
        <x:v>1</x:v>
      </x:c>
    </x:row>
    <x:row r="450">
      <x:c r="A450" t="str">
        <x:v>SBIN</x:v>
      </x:c>
      <x:c r="B450" s="52" t="n">
        <x:v>45314</x:v>
      </x:c>
      <x:c r="C450" s="53" t="n">
        <x:v>605.1</x:v>
      </x:c>
      <x:c r="D450" s="46" t="n">
        <x:v>0.11593125103288715</x:v>
      </x:c>
      <x:c r="E450" s="46" t="n">
        <x:v>0.11593125103288715</x:v>
      </x:c>
      <x:c r="F450" t="n">
        <x:v>10</x:v>
      </x:c>
      <x:c r="G450" s="51" t="b">
        <x:v>0</x:v>
      </x:c>
      <x:c r="H450" s="51" t="b">
        <x:v>0</x:v>
      </x:c>
      <x:c r="I450" s="51" t="b">
        <x:v>0</x:v>
      </x:c>
      <x:c r="J450" s="51" t="b">
        <x:v>0</x:v>
      </x:c>
      <x:c r="K450" s="51" t="b">
        <x:v>0</x:v>
      </x:c>
      <x:c r="L450" s="51" t="b">
        <x:v>0</x:v>
      </x:c>
      <x:c r="M450" s="51" t="b">
        <x:v>0</x:v>
      </x:c>
      <x:c r="N450" s="51" t="b">
        <x:v>1</x:v>
      </x:c>
    </x:row>
    <x:row r="451">
      <x:c r="A451" t="str">
        <x:v>SBIN</x:v>
      </x:c>
      <x:c r="B451" s="52" t="n">
        <x:v>45397</x:v>
      </x:c>
      <x:c r="C451" s="53" t="n">
        <x:v>757.5</x:v>
      </x:c>
      <x:c r="D451" s="46" t="n">
        <x:v>0.09108910891089117</x:v>
      </x:c>
      <x:c r="E451" s="46" t="n">
        <x:v>0.09075907590759069</x:v>
      </x:c>
      <x:c r="F451" t="n">
        <x:v>9</x:v>
      </x:c>
      <x:c r="G451" s="51" t="b">
        <x:v>0</x:v>
      </x:c>
      <x:c r="H451" s="51" t="b">
        <x:v>0</x:v>
      </x:c>
      <x:c r="I451" s="51" t="b">
        <x:v>0</x:v>
      </x:c>
      <x:c r="J451" s="51" t="b">
        <x:v>0</x:v>
      </x:c>
      <x:c r="K451" s="51" t="b">
        <x:v>0</x:v>
      </x:c>
      <x:c r="L451" s="51" t="b">
        <x:v>0</x:v>
      </x:c>
      <x:c r="M451" s="51" t="b">
        <x:v>0</x:v>
      </x:c>
      <x:c r="N451" s="51" t="b">
        <x:v>1</x:v>
      </x:c>
    </x:row>
    <x:row r="452">
      <x:c r="A452" t="str">
        <x:v>SBIN</x:v>
      </x:c>
      <x:c r="B452" s="52" t="n">
        <x:v>45430</x:v>
      </x:c>
      <x:c r="C452" s="53" t="n">
        <x:v>821</x:v>
      </x:c>
      <x:c r="D452" s="46" t="n">
        <x:v>0.10310596833130337</x:v>
      </x:c>
      <x:c r="E452" s="46" t="n">
        <x:v>0.10310596833130337</x:v>
      </x:c>
      <x:c r="F452" t="n">
        <x:v>10</x:v>
      </x:c>
      <x:c r="G452" s="51" t="b">
        <x:v>0</x:v>
      </x:c>
      <x:c r="H452" s="51" t="b">
        <x:v>0</x:v>
      </x:c>
      <x:c r="I452" s="51" t="b">
        <x:v>0</x:v>
      </x:c>
      <x:c r="J452" s="51" t="b">
        <x:v>0</x:v>
      </x:c>
      <x:c r="K452" s="51" t="b">
        <x:v>1</x:v>
      </x:c>
      <x:c r="L452" s="51" t="b">
        <x:v>1</x:v>
      </x:c>
      <x:c r="M452" s="51" t="b">
        <x:v>0</x:v>
      </x:c>
      <x:c r="N452" s="51" t="b">
        <x:v>0</x:v>
      </x:c>
    </x:row>
    <x:row r="453">
      <x:c r="A453" t="str">
        <x:v>SBIN</x:v>
      </x:c>
      <x:c r="B453" s="52" t="n">
        <x:v>45588</x:v>
      </x:c>
      <x:c r="C453" s="53" t="n">
        <x:v>786</x:v>
      </x:c>
      <x:c r="D453" s="46" t="n">
        <x:v>0.08753180661577598</x:v>
      </x:c>
      <x:c r="E453" s="46" t="n">
        <x:v>0.08753180661577598</x:v>
      </x:c>
      <x:c r="F453" t="n">
        <x:v>9</x:v>
      </x:c>
      <x:c r="G453" s="51" t="b">
        <x:v>0</x:v>
      </x:c>
      <x:c r="H453" s="51" t="b">
        <x:v>0</x:v>
      </x:c>
      <x:c r="I453" s="51" t="b">
        <x:v>0</x:v>
      </x:c>
      <x:c r="J453" s="51" t="b">
        <x:v>0</x:v>
      </x:c>
      <x:c r="K453" s="51" t="b">
        <x:v>0</x:v>
      </x:c>
      <x:c r="L453" s="51" t="b">
        <x:v>0</x:v>
      </x:c>
      <x:c r="M453" s="51" t="b">
        <x:v>0</x:v>
      </x:c>
      <x:c r="N453" s="51" t="b">
        <x:v>0</x:v>
      </x:c>
    </x:row>
    <x:row r="454">
      <x:c r="A454" t="str">
        <x:v>SBIN</x:v>
      </x:c>
      <x:c r="B454" s="52" t="n">
        <x:v>45617</x:v>
      </x:c>
      <x:c r="C454" s="53" t="n">
        <x:v>780.75</x:v>
      </x:c>
      <x:c r="D454" s="46" t="n">
        <x:v>0.10848543067563243</x:v>
      </x:c>
      <x:c r="E454" s="46" t="n">
        <x:v>0.10848543067563243</x:v>
      </x:c>
      <x:c r="F454" t="n">
        <x:v>2</x:v>
      </x:c>
      <x:c r="G454" s="51" t="b">
        <x:v>0</x:v>
      </x:c>
      <x:c r="H454" s="51" t="b">
        <x:v>0</x:v>
      </x:c>
      <x:c r="I454" s="51" t="b">
        <x:v>0</x:v>
      </x:c>
      <x:c r="J454" s="51" t="b">
        <x:v>0</x:v>
      </x:c>
      <x:c r="K454" s="51" t="b">
        <x:v>0</x:v>
      </x:c>
      <x:c r="L454" s="51" t="b">
        <x:v>1</x:v>
      </x:c>
      <x:c r="M454" s="51" t="b">
        <x:v>0</x:v>
      </x:c>
      <x:c r="N454" s="51" t="b">
        <x:v>0</x:v>
      </x:c>
    </x:row>
    <x:row r="455">
      <x:c r="A455" t="str">
        <x:v>SBIN</x:v>
      </x:c>
      <x:c r="B455" s="52" t="n">
        <x:v>45754</x:v>
      </x:c>
      <x:c r="C455" s="53" t="n">
        <x:v>746.9</x:v>
      </x:c>
      <x:c r="D455" s="46" t="n">
        <x:v>0.10108448252778146</x:v>
      </x:c>
      <x:c r="E455" s="46" t="n">
        <x:v>0.08903467666354259</x:v>
      </x:c>
      <x:c r="F455" t="n">
        <x:v>7</x:v>
      </x:c>
      <x:c r="G455" s="51" t="b">
        <x:v>0</x:v>
      </x:c>
      <x:c r="H455" s="51" t="b">
        <x:v>0</x:v>
      </x:c>
      <x:c r="I455" s="51" t="b">
        <x:v>0</x:v>
      </x:c>
      <x:c r="J455" s="51" t="b">
        <x:v>0</x:v>
      </x:c>
      <x:c r="K455" s="51" t="b">
        <x:v>1</x:v>
      </x:c>
      <x:c r="L455" s="51" t="b">
        <x:v>1</x:v>
      </x:c>
      <x:c r="M455" s="51" t="b">
        <x:v>0</x:v>
      </x:c>
      <x:c r="N455" s="51" t="b">
        <x:v>0</x:v>
      </x:c>
    </x:row>
    <x:row r="456">
      <x:c r="A456" t="str">
        <x:v>SBIN</x:v>
      </x:c>
      <x:c r="B456" s="52" t="n">
        <x:v>46049</x:v>
      </x:c>
      <x:c r="C456" s="53" t="n">
        <x:v>1053.15</x:v>
      </x:c>
      <x:c r="D456" s="46" t="n">
        <x:v>0.08816407919099833</x:v>
      </x:c>
      <x:c r="E456" s="46" t="n">
        <x:v>0.08816407919099833</x:v>
      </x:c>
      <x:c r="F456" t="n">
        <x:v>10</x:v>
      </x:c>
      <x:c r="G456" s="51" t="b">
        <x:v>0</x:v>
      </x:c>
      <x:c r="H456" s="51" t="b">
        <x:v>0</x:v>
      </x:c>
      <x:c r="I456" s="51" t="b">
        <x:v>0</x:v>
      </x:c>
      <x:c r="J456" s="51" t="b">
        <x:v>1</x:v>
      </x:c>
      <x:c r="K456" s="51" t="b">
        <x:v>1</x:v>
      </x:c>
      <x:c r="L456" s="51" t="b">
        <x:v>0</x:v>
      </x:c>
      <x:c r="M456" s="51" t="b">
        <x:v>0</x:v>
      </x:c>
      <x:c r="N456" s="51" t="b">
        <x:v>0</x:v>
      </x:c>
    </x:row>
    <x:row r="457">
      <x:c r="A457" t="str">
        <x:v>SBIN</x:v>
      </x:c>
      <x:c r="B457" s="52" t="n">
        <x:v>46111</x:v>
      </x:c>
      <x:c r="C457" s="53" t="n">
        <x:v>979.4</x:v>
      </x:c>
      <x:c r="D457" s="46" t="n">
        <x:v>0.09403716561159903</x:v>
      </x:c>
      <x:c r="E457" s="46" t="n">
        <x:v>0.08959567081886877</x:v>
      </x:c>
      <x:c r="F457" t="n">
        <x:v>5</x:v>
      </x:c>
      <x:c r="G457" s="51" t="b">
        <x:v>0</x:v>
      </x:c>
      <x:c r="H457" s="51" t="b">
        <x:v>0</x:v>
      </x:c>
      <x:c r="I457" s="51" t="b">
        <x:v>0</x:v>
      </x:c>
      <x:c r="J457" s="51" t="b">
        <x:v>0</x:v>
      </x:c>
      <x:c r="K457" s="51" t="b">
        <x:v>0</x:v>
      </x:c>
      <x:c r="L457" s="51" t="b">
        <x:v>0</x:v>
      </x:c>
      <x:c r="M457" s="51" t="b">
        <x:v>0</x:v>
      </x:c>
      <x:c r="N457" s="51" t="b">
        <x:v>0</x:v>
      </x:c>
    </x:row>
    <x:row r="458">
      <x:c r="A458" t="str">
        <x:v>SUNPHARMA</x:v>
      </x:c>
      <x:c r="B458" s="52" t="n">
        <x:v>42682</x:v>
      </x:c>
      <x:c r="C458" s="53" t="n">
        <x:v>635.4</x:v>
      </x:c>
      <x:c r="D458" s="46" t="n">
        <x:v>0.10371419578218433</x:v>
      </x:c>
      <x:c r="E458" s="46" t="n">
        <x:v>0.10371419578218433</x:v>
      </x:c>
      <x:c r="F458" t="n">
        <x:v>3</x:v>
      </x:c>
      <x:c r="G458" s="51" t="b">
        <x:v>0</x:v>
      </x:c>
      <x:c r="H458" s="51" t="b">
        <x:v>0</x:v>
      </x:c>
      <x:c r="I458" s="51" t="b">
        <x:v>0</x:v>
      </x:c>
      <x:c r="J458" s="51" t="b">
        <x:v>0</x:v>
      </x:c>
      <x:c r="K458" s="51" t="b">
        <x:v>0</x:v>
      </x:c>
      <x:c r="L458" s="51" t="b">
        <x:v>0</x:v>
      </x:c>
      <x:c r="M458" s="51" t="b">
        <x:v>1</x:v>
      </x:c>
      <x:c r="N458" s="51" t="b">
        <x:v>0</x:v>
      </x:c>
    </x:row>
    <x:row r="459">
      <x:c r="A459" t="str">
        <x:v>SUNPHARMA</x:v>
      </x:c>
      <x:c r="B459" s="52" t="n">
        <x:v>42781</x:v>
      </x:c>
      <x:c r="C459" s="53" t="n">
        <x:v>623.05</x:v>
      </x:c>
      <x:c r="D459" s="46" t="n">
        <x:v>0.1149185458630928</x:v>
      </x:c>
      <x:c r="E459" s="46" t="n">
        <x:v>0.08522590482304793</x:v>
      </x:c>
      <x:c r="F459" t="n">
        <x:v>2</x:v>
      </x:c>
      <x:c r="G459" s="51" t="b">
        <x:v>0</x:v>
      </x:c>
      <x:c r="H459" s="51" t="b">
        <x:v>0</x:v>
      </x:c>
      <x:c r="I459" s="51" t="b">
        <x:v>0</x:v>
      </x:c>
      <x:c r="J459" s="51" t="b">
        <x:v>0</x:v>
      </x:c>
      <x:c r="K459" s="51" t="b">
        <x:v>0</x:v>
      </x:c>
      <x:c r="L459" s="51" t="b">
        <x:v>0</x:v>
      </x:c>
      <x:c r="M459" s="51" t="b">
        <x:v>1</x:v>
      </x:c>
      <x:c r="N459" s="51" t="b">
        <x:v>0</x:v>
      </x:c>
    </x:row>
    <x:row r="460">
      <x:c r="A460" t="str">
        <x:v>SUNPHARMA</x:v>
      </x:c>
      <x:c r="B460" s="52" t="n">
        <x:v>42958</x:v>
      </x:c>
      <x:c r="C460" s="53" t="n">
        <x:v>450</x:v>
      </x:c>
      <x:c r="D460" s="46" t="n">
        <x:v>0.09600000000000009</x:v>
      </x:c>
      <x:c r="E460" s="46" t="n">
        <x:v>0.07066666666666666</x:v>
      </x:c>
      <x:c r="F460" t="n">
        <x:v>3</x:v>
      </x:c>
      <x:c r="G460" s="51" t="b">
        <x:v>0</x:v>
      </x:c>
      <x:c r="H460" s="51" t="b">
        <x:v>0</x:v>
      </x:c>
      <x:c r="I460" s="51" t="b">
        <x:v>0</x:v>
      </x:c>
      <x:c r="J460" s="51" t="b">
        <x:v>0</x:v>
      </x:c>
      <x:c r="K460" s="51" t="b">
        <x:v>0</x:v>
      </x:c>
      <x:c r="L460" s="51" t="b">
        <x:v>0</x:v>
      </x:c>
      <x:c r="M460" s="51" t="b">
        <x:v>1</x:v>
      </x:c>
      <x:c r="N460" s="51" t="b">
        <x:v>0</x:v>
      </x:c>
    </x:row>
    <x:row r="461">
      <x:c r="A461" t="str">
        <x:v>SUNPHARMA</x:v>
      </x:c>
      <x:c r="B461" s="52" t="n">
        <x:v>42978</x:v>
      </x:c>
      <x:c r="C461" s="53" t="n">
        <x:v>481.15</x:v>
      </x:c>
      <x:c r="D461" s="46" t="n">
        <x:v>0.09040839654993249</x:v>
      </x:c>
      <x:c r="E461" s="46" t="n">
        <x:v>0.09040839654993249</x:v>
      </x:c>
      <x:c r="F461" t="n">
        <x:v>10</x:v>
      </x:c>
      <x:c r="G461" s="51" t="b">
        <x:v>0</x:v>
      </x:c>
      <x:c r="H461" s="51" t="b">
        <x:v>0</x:v>
      </x:c>
      <x:c r="I461" s="51" t="b">
        <x:v>0</x:v>
      </x:c>
      <x:c r="J461" s="51" t="b">
        <x:v>0</x:v>
      </x:c>
      <x:c r="K461" s="51" t="b">
        <x:v>0</x:v>
      </x:c>
      <x:c r="L461" s="51" t="b">
        <x:v>1</x:v>
      </x:c>
      <x:c r="M461" s="51" t="b">
        <x:v>1</x:v>
      </x:c>
      <x:c r="N461" s="51" t="b">
        <x:v>0</x:v>
      </x:c>
    </x:row>
    <x:row r="462">
      <x:c r="A462" t="str">
        <x:v>SUNPHARMA</x:v>
      </x:c>
      <x:c r="B462" s="52" t="n">
        <x:v>43005</x:v>
      </x:c>
      <x:c r="C462" s="53" t="n">
        <x:v>494.7</x:v>
      </x:c>
      <x:c r="D462" s="46" t="n">
        <x:v>0.09066100667070942</x:v>
      </x:c>
      <x:c r="E462" s="46" t="n">
        <x:v>0.09066100667070942</x:v>
      </x:c>
      <x:c r="F462" t="n">
        <x:v>10</x:v>
      </x:c>
      <x:c r="G462" s="51" t="b">
        <x:v>0</x:v>
      </x:c>
      <x:c r="H462" s="51" t="b">
        <x:v>0</x:v>
      </x:c>
      <x:c r="I462" s="51" t="b">
        <x:v>0</x:v>
      </x:c>
      <x:c r="J462" s="51" t="b">
        <x:v>0</x:v>
      </x:c>
      <x:c r="K462" s="51" t="b">
        <x:v>1</x:v>
      </x:c>
      <x:c r="L462" s="51" t="b">
        <x:v>1</x:v>
      </x:c>
      <x:c r="M462" s="51" t="b">
        <x:v>0</x:v>
      </x:c>
      <x:c r="N462" s="51" t="b">
        <x:v>0</x:v>
      </x:c>
    </x:row>
    <x:row r="463">
      <x:c r="A463" t="str">
        <x:v>SUNPHARMA</x:v>
      </x:c>
      <x:c r="B463" s="52" t="n">
        <x:v>43054</x:v>
      </x:c>
      <x:c r="C463" s="53" t="n">
        <x:v>504.65</x:v>
      </x:c>
      <x:c r="D463" s="46" t="n">
        <x:v>0.09293569800852075</x:v>
      </x:c>
      <x:c r="E463" s="46" t="n">
        <x:v>0.08411770534033502</x:v>
      </x:c>
      <x:c r="F463" t="n">
        <x:v>7</x:v>
      </x:c>
      <x:c r="G463" s="51" t="b">
        <x:v>0</x:v>
      </x:c>
      <x:c r="H463" s="51" t="b">
        <x:v>0</x:v>
      </x:c>
      <x:c r="I463" s="51" t="b">
        <x:v>0</x:v>
      </x:c>
      <x:c r="J463" s="51" t="b">
        <x:v>0</x:v>
      </x:c>
      <x:c r="K463" s="51" t="b">
        <x:v>0</x:v>
      </x:c>
      <x:c r="L463" s="51" t="b">
        <x:v>0</x:v>
      </x:c>
      <x:c r="M463" s="51" t="b">
        <x:v>0</x:v>
      </x:c>
      <x:c r="N463" s="51" t="b">
        <x:v>0</x:v>
      </x:c>
    </x:row>
    <x:row r="464">
      <x:c r="A464" t="str">
        <x:v>SUNPHARMA</x:v>
      </x:c>
      <x:c r="B464" s="52" t="n">
        <x:v>43081</x:v>
      </x:c>
      <x:c r="C464" s="53" t="n">
        <x:v>520.85</x:v>
      </x:c>
      <x:c r="D464" s="46" t="n">
        <x:v>0.10646059326101542</x:v>
      </x:c>
      <x:c r="E464" s="46" t="n">
        <x:v>0.10646059326101542</x:v>
      </x:c>
      <x:c r="F464" t="n">
        <x:v>10</x:v>
      </x:c>
      <x:c r="G464" s="51" t="b">
        <x:v>0</x:v>
      </x:c>
      <x:c r="H464" s="51" t="b">
        <x:v>0</x:v>
      </x:c>
      <x:c r="I464" s="51" t="b">
        <x:v>0</x:v>
      </x:c>
      <x:c r="J464" s="51" t="b">
        <x:v>0</x:v>
      </x:c>
      <x:c r="K464" s="51" t="b">
        <x:v>0</x:v>
      </x:c>
      <x:c r="L464" s="51" t="b">
        <x:v>1</x:v>
      </x:c>
      <x:c r="M464" s="51" t="b">
        <x:v>1</x:v>
      </x:c>
      <x:c r="N464" s="51" t="b">
        <x:v>0</x:v>
      </x:c>
    </x:row>
    <x:row r="465">
      <x:c r="A465" t="str">
        <x:v>SUNPHARMA</x:v>
      </x:c>
      <x:c r="B465" s="52" t="n">
        <x:v>43152</x:v>
      </x:c>
      <x:c r="C465" s="53" t="n">
        <x:v>525.75</x:v>
      </x:c>
      <x:c r="D465" s="46" t="n">
        <x:v>0.08349976224441269</x:v>
      </x:c>
      <x:c r="E465" s="46" t="n">
        <x:v>-0.021207798383261922</x:v>
      </x:c>
      <x:c r="F465" t="n">
        <x:v>2</x:v>
      </x:c>
      <x:c r="G465" s="51" t="b">
        <x:v>0</x:v>
      </x:c>
      <x:c r="H465" s="51" t="b">
        <x:v>0</x:v>
      </x:c>
      <x:c r="I465" s="51" t="b">
        <x:v>0</x:v>
      </x:c>
      <x:c r="J465" s="51" t="b">
        <x:v>0</x:v>
      </x:c>
      <x:c r="K465" s="51" t="b">
        <x:v>0</x:v>
      </x:c>
      <x:c r="L465" s="51" t="b">
        <x:v>0</x:v>
      </x:c>
      <x:c r="M465" s="51" t="b">
        <x:v>0</x:v>
      </x:c>
      <x:c r="N465" s="51" t="b">
        <x:v>1</x:v>
      </x:c>
    </x:row>
    <x:row r="466">
      <x:c r="A466" t="str">
        <x:v>SUNPHARMA</x:v>
      </x:c>
      <x:c r="B466" s="52" t="n">
        <x:v>43241</x:v>
      </x:c>
      <x:c r="C466" s="53" t="n">
        <x:v>443.75</x:v>
      </x:c>
      <x:c r="D466" s="46" t="n">
        <x:v>0.1260845070422536</x:v>
      </x:c>
      <x:c r="E466" s="46" t="n">
        <x:v>0.07853521126760565</x:v>
      </x:c>
      <x:c r="F466" t="n">
        <x:v>5</x:v>
      </x:c>
      <x:c r="G466" s="51" t="b">
        <x:v>0</x:v>
      </x:c>
      <x:c r="H466" s="51" t="b">
        <x:v>0</x:v>
      </x:c>
      <x:c r="I466" s="51" t="b">
        <x:v>1</x:v>
      </x:c>
      <x:c r="J466" s="51" t="b">
        <x:v>0</x:v>
      </x:c>
      <x:c r="K466" s="51" t="b">
        <x:v>0</x:v>
      </x:c>
      <x:c r="L466" s="51" t="b">
        <x:v>0</x:v>
      </x:c>
      <x:c r="M466" s="51" t="b">
        <x:v>1</x:v>
      </x:c>
      <x:c r="N466" s="51" t="b">
        <x:v>1</x:v>
      </x:c>
    </x:row>
    <x:row r="467">
      <x:c r="A467" t="str">
        <x:v>SUNPHARMA</x:v>
      </x:c>
      <x:c r="B467" s="52" t="n">
        <x:v>43318</x:v>
      </x:c>
      <x:c r="C467" s="53" t="n">
        <x:v>576.15</x:v>
      </x:c>
      <x:c r="D467" s="46" t="n">
        <x:v>0.10283780265555853</x:v>
      </x:c>
      <x:c r="E467" s="46" t="n">
        <x:v>0.10283780265555853</x:v>
      </x:c>
      <x:c r="F467" t="n">
        <x:v>8</x:v>
      </x:c>
      <x:c r="G467" s="51" t="b">
        <x:v>0</x:v>
      </x:c>
      <x:c r="H467" s="51" t="b">
        <x:v>0</x:v>
      </x:c>
      <x:c r="I467" s="51" t="b">
        <x:v>0</x:v>
      </x:c>
      <x:c r="J467" s="51" t="b">
        <x:v>0</x:v>
      </x:c>
      <x:c r="K467" s="51" t="b">
        <x:v>0</x:v>
      </x:c>
      <x:c r="L467" s="51" t="b">
        <x:v>1</x:v>
      </x:c>
      <x:c r="M467" s="51" t="b">
        <x:v>1</x:v>
      </x:c>
      <x:c r="N467" s="51" t="b">
        <x:v>1</x:v>
      </x:c>
    </x:row>
    <x:row r="468">
      <x:c r="A468" t="str">
        <x:v>SUNPHARMA</x:v>
      </x:c>
      <x:c r="B468" s="52" t="n">
        <x:v>43339</x:v>
      </x:c>
      <x:c r="C468" s="53" t="n">
        <x:v>621.8</x:v>
      </x:c>
      <x:c r="D468" s="46" t="n">
        <x:v>0.08941781923448056</x:v>
      </x:c>
      <x:c r="E468" s="46" t="n">
        <x:v>0.026053393374075418</x:v>
      </x:c>
      <x:c r="F468" t="n">
        <x:v>8</x:v>
      </x:c>
      <x:c r="G468" s="51" t="b">
        <x:v>0</x:v>
      </x:c>
      <x:c r="H468" s="51" t="b">
        <x:v>0</x:v>
      </x:c>
      <x:c r="I468" s="51" t="b">
        <x:v>1</x:v>
      </x:c>
      <x:c r="J468" s="51" t="b">
        <x:v>0</x:v>
      </x:c>
      <x:c r="K468" s="51" t="b">
        <x:v>1</x:v>
      </x:c>
      <x:c r="L468" s="51" t="b">
        <x:v>1</x:v>
      </x:c>
      <x:c r="M468" s="51" t="b">
        <x:v>1</x:v>
      </x:c>
      <x:c r="N468" s="51" t="b">
        <x:v>1</x:v>
      </x:c>
    </x:row>
    <x:row r="469">
      <x:c r="A469" t="str">
        <x:v>SUNPHARMA</x:v>
      </x:c>
      <x:c r="B469" s="52" t="n">
        <x:v>43444</x:v>
      </x:c>
      <x:c r="C469" s="53" t="n">
        <x:v>399</x:v>
      </x:c>
      <x:c r="D469" s="46" t="n">
        <x:v>0.08634085213032572</x:v>
      </x:c>
      <x:c r="E469" s="46" t="n">
        <x:v>0.06353383458646622</x:v>
      </x:c>
      <x:c r="F469" t="n">
        <x:v>2</x:v>
      </x:c>
      <x:c r="G469" s="51" t="b">
        <x:v>0</x:v>
      </x:c>
      <x:c r="H469" s="51" t="b">
        <x:v>0</x:v>
      </x:c>
      <x:c r="I469" s="51" t="b">
        <x:v>0</x:v>
      </x:c>
      <x:c r="J469" s="51" t="b">
        <x:v>0</x:v>
      </x:c>
      <x:c r="K469" s="51" t="b">
        <x:v>0</x:v>
      </x:c>
      <x:c r="L469" s="51" t="b">
        <x:v>1</x:v>
      </x:c>
      <x:c r="M469" s="51" t="b">
        <x:v>0</x:v>
      </x:c>
      <x:c r="N469" s="51" t="b">
        <x:v>0</x:v>
      </x:c>
    </x:row>
    <x:row r="470">
      <x:c r="A470" t="str">
        <x:v>SUNPHARMA</x:v>
      </x:c>
      <x:c r="B470" s="52" t="n">
        <x:v>43460</x:v>
      </x:c>
      <x:c r="C470" s="53" t="n">
        <x:v>413.65</x:v>
      </x:c>
      <x:c r="D470" s="46" t="n">
        <x:v>0.08485434546113879</x:v>
      </x:c>
      <x:c r="E470" s="46" t="n">
        <x:v>0.08485434546113879</x:v>
      </x:c>
      <x:c r="F470" t="n">
        <x:v>9</x:v>
      </x:c>
      <x:c r="G470" s="51" t="b">
        <x:v>0</x:v>
      </x:c>
      <x:c r="H470" s="51" t="b">
        <x:v>0</x:v>
      </x:c>
      <x:c r="I470" s="51" t="b">
        <x:v>0</x:v>
      </x:c>
      <x:c r="J470" s="51" t="b">
        <x:v>0</x:v>
      </x:c>
      <x:c r="K470" s="51" t="b">
        <x:v>0</x:v>
      </x:c>
      <x:c r="L470" s="51" t="b">
        <x:v>0</x:v>
      </x:c>
      <x:c r="M470" s="51" t="b">
        <x:v>0</x:v>
      </x:c>
      <x:c r="N470" s="51" t="b">
        <x:v>1</x:v>
      </x:c>
    </x:row>
    <x:row r="471">
      <x:c r="A471" t="str">
        <x:v>SUNPHARMA</x:v>
      </x:c>
      <x:c r="B471" s="52" t="n">
        <x:v>43483</x:v>
      </x:c>
      <x:c r="C471" s="53" t="n">
        <x:v>390.75</x:v>
      </x:c>
      <x:c r="D471" s="46" t="n">
        <x:v>0.10300703774792064</x:v>
      </x:c>
      <x:c r="E471" s="46" t="n">
        <x:v>0.08317338451695466</x:v>
      </x:c>
      <x:c r="F471" t="n">
        <x:v>3</x:v>
      </x:c>
      <x:c r="G471" s="51" t="b">
        <x:v>0</x:v>
      </x:c>
      <x:c r="H471" s="51" t="b">
        <x:v>0</x:v>
      </x:c>
      <x:c r="I471" s="51" t="b">
        <x:v>0</x:v>
      </x:c>
      <x:c r="J471" s="51" t="b">
        <x:v>0</x:v>
      </x:c>
      <x:c r="K471" s="51" t="b">
        <x:v>0</x:v>
      </x:c>
      <x:c r="L471" s="51" t="b">
        <x:v>0</x:v>
      </x:c>
      <x:c r="M471" s="51" t="b">
        <x:v>0</x:v>
      </x:c>
      <x:c r="N471" s="51" t="b">
        <x:v>1</x:v>
      </x:c>
    </x:row>
    <x:row r="472">
      <x:c r="A472" t="str">
        <x:v>SUNPHARMA</x:v>
      </x:c>
      <x:c r="B472" s="52" t="n">
        <x:v>43514</x:v>
      </x:c>
      <x:c r="C472" s="53" t="n">
        <x:v>414.65</x:v>
      </x:c>
      <x:c r="D472" s="46" t="n">
        <x:v>0.09948149041360188</x:v>
      </x:c>
      <x:c r="E472" s="46" t="n">
        <x:v>0.09948149041360188</x:v>
      </x:c>
      <x:c r="F472" t="n">
        <x:v>10</x:v>
      </x:c>
      <x:c r="G472" s="51" t="b">
        <x:v>0</x:v>
      </x:c>
      <x:c r="H472" s="51" t="b">
        <x:v>0</x:v>
      </x:c>
      <x:c r="I472" s="51" t="b">
        <x:v>0</x:v>
      </x:c>
      <x:c r="J472" s="51" t="b">
        <x:v>0</x:v>
      </x:c>
      <x:c r="K472" s="51" t="b">
        <x:v>1</x:v>
      </x:c>
      <x:c r="L472" s="51" t="b">
        <x:v>0</x:v>
      </x:c>
      <x:c r="M472" s="51" t="b">
        <x:v>0</x:v>
      </x:c>
      <x:c r="N472" s="51" t="b">
        <x:v>1</x:v>
      </x:c>
    </x:row>
    <x:row r="473">
      <x:c r="A473" t="str">
        <x:v>SUNPHARMA</x:v>
      </x:c>
      <x:c r="B473" s="52" t="n">
        <x:v>43635</x:v>
      </x:c>
      <x:c r="C473" s="53" t="n">
        <x:v>375.2</x:v>
      </x:c>
      <x:c r="D473" s="46" t="n">
        <x:v>0.08035714285714302</x:v>
      </x:c>
      <x:c r="E473" s="46" t="n">
        <x:v>0.05463752665245192</x:v>
      </x:c>
      <x:c r="F473" t="n">
        <x:v>8</x:v>
      </x:c>
      <x:c r="G473" s="51" t="b">
        <x:v>0</x:v>
      </x:c>
      <x:c r="H473" s="51" t="b">
        <x:v>0</x:v>
      </x:c>
      <x:c r="I473" s="51" t="b">
        <x:v>1</x:v>
      </x:c>
      <x:c r="J473" s="51" t="b">
        <x:v>0</x:v>
      </x:c>
      <x:c r="K473" s="51" t="b">
        <x:v>0</x:v>
      </x:c>
      <x:c r="L473" s="51" t="b">
        <x:v>1</x:v>
      </x:c>
      <x:c r="M473" s="51" t="b">
        <x:v>1</x:v>
      </x:c>
      <x:c r="N473" s="51" t="b">
        <x:v>1</x:v>
      </x:c>
    </x:row>
    <x:row r="474">
      <x:c r="A474" t="str">
        <x:v>SUNPHARMA</x:v>
      </x:c>
      <x:c r="B474" s="52" t="n">
        <x:v>43648</x:v>
      </x:c>
      <x:c r="C474" s="53" t="n">
        <x:v>395.55</x:v>
      </x:c>
      <x:c r="D474" s="46" t="n">
        <x:v>0.09543673366198968</x:v>
      </x:c>
      <x:c r="E474" s="46" t="n">
        <x:v>0.09543673366198968</x:v>
      </x:c>
      <x:c r="F474" t="n">
        <x:v>10</x:v>
      </x:c>
      <x:c r="G474" s="51" t="b">
        <x:v>0</x:v>
      </x:c>
      <x:c r="H474" s="51" t="b">
        <x:v>0</x:v>
      </x:c>
      <x:c r="I474" s="51" t="b">
        <x:v>0</x:v>
      </x:c>
      <x:c r="J474" s="51" t="b">
        <x:v>0</x:v>
      </x:c>
      <x:c r="K474" s="51" t="b">
        <x:v>0</x:v>
      </x:c>
      <x:c r="L474" s="51" t="b">
        <x:v>0</x:v>
      </x:c>
      <x:c r="M474" s="51" t="b">
        <x:v>1</x:v>
      </x:c>
      <x:c r="N474" s="51" t="b">
        <x:v>0</x:v>
      </x:c>
    </x:row>
    <x:row r="475">
      <x:c r="A475" t="str">
        <x:v>SUNPHARMA</x:v>
      </x:c>
      <x:c r="B475" s="52" t="n">
        <x:v>43693</x:v>
      </x:c>
      <x:c r="C475" s="53" t="n">
        <x:v>414.7</x:v>
      </x:c>
      <x:c r="D475" s="46" t="n">
        <x:v>0.08608632746563782</x:v>
      </x:c>
      <x:c r="E475" s="46" t="n">
        <x:v>0.08608632746563782</x:v>
      </x:c>
      <x:c r="F475" t="n">
        <x:v>10</x:v>
      </x:c>
      <x:c r="G475" s="51" t="b">
        <x:v>0</x:v>
      </x:c>
      <x:c r="H475" s="51" t="b">
        <x:v>0</x:v>
      </x:c>
      <x:c r="I475" s="51" t="b">
        <x:v>1</x:v>
      </x:c>
      <x:c r="J475" s="51" t="b">
        <x:v>0</x:v>
      </x:c>
      <x:c r="K475" s="51" t="b">
        <x:v>0</x:v>
      </x:c>
      <x:c r="L475" s="51" t="b">
        <x:v>0</x:v>
      </x:c>
      <x:c r="M475" s="51" t="b">
        <x:v>0</x:v>
      </x:c>
      <x:c r="N475" s="51" t="b">
        <x:v>1</x:v>
      </x:c>
    </x:row>
    <x:row r="476">
      <x:c r="A476" t="str">
        <x:v>SUNPHARMA</x:v>
      </x:c>
      <x:c r="B476" s="52" t="n">
        <x:v>43749</x:v>
      </x:c>
      <x:c r="C476" s="53" t="n">
        <x:v>386.3</x:v>
      </x:c>
      <x:c r="D476" s="46" t="n">
        <x:v>0.08141340926740881</x:v>
      </x:c>
      <x:c r="E476" s="46" t="n">
        <x:v>0.08141340926740881</x:v>
      </x:c>
      <x:c r="F476" t="n">
        <x:v>9</x:v>
      </x:c>
      <x:c r="G476" s="51" t="b">
        <x:v>0</x:v>
      </x:c>
      <x:c r="H476" s="51" t="b">
        <x:v>0</x:v>
      </x:c>
      <x:c r="I476" s="51" t="b">
        <x:v>0</x:v>
      </x:c>
      <x:c r="J476" s="51" t="b">
        <x:v>0</x:v>
      </x:c>
      <x:c r="K476" s="51" t="b">
        <x:v>0</x:v>
      </x:c>
      <x:c r="L476" s="51" t="b">
        <x:v>0</x:v>
      </x:c>
      <x:c r="M476" s="51" t="b">
        <x:v>0</x:v>
      </x:c>
      <x:c r="N476" s="51" t="b">
        <x:v>1</x:v>
      </x:c>
    </x:row>
    <x:row r="477">
      <x:c r="A477" t="str">
        <x:v>SUNPHARMA</x:v>
      </x:c>
      <x:c r="B477" s="52" t="n">
        <x:v>43777</x:v>
      </x:c>
      <x:c r="C477" s="53" t="n">
        <x:v>422.1</x:v>
      </x:c>
      <x:c r="D477" s="46" t="n">
        <x:v>0.08730158730158721</x:v>
      </x:c>
      <x:c r="E477" s="46" t="n">
        <x:v>0.08730158730158721</x:v>
      </x:c>
      <x:c r="F477" t="n">
        <x:v>10</x:v>
      </x:c>
      <x:c r="G477" s="51" t="b">
        <x:v>0</x:v>
      </x:c>
      <x:c r="H477" s="51" t="b">
        <x:v>0</x:v>
      </x:c>
      <x:c r="I477" s="51" t="b">
        <x:v>0</x:v>
      </x:c>
      <x:c r="J477" s="51" t="b">
        <x:v>0</x:v>
      </x:c>
      <x:c r="K477" s="51" t="b">
        <x:v>1</x:v>
      </x:c>
      <x:c r="L477" s="51" t="b">
        <x:v>0</x:v>
      </x:c>
      <x:c r="M477" s="51" t="b">
        <x:v>0</x:v>
      </x:c>
      <x:c r="N477" s="51" t="b">
        <x:v>1</x:v>
      </x:c>
    </x:row>
    <x:row r="478">
      <x:c r="A478" t="str">
        <x:v>SUNPHARMA</x:v>
      </x:c>
      <x:c r="B478" s="52" t="n">
        <x:v>43887</x:v>
      </x:c>
      <x:c r="C478" s="53" t="n">
        <x:v>374.7</x:v>
      </x:c>
      <x:c r="D478" s="46" t="n">
        <x:v>0.08206565252201758</x:v>
      </x:c>
      <x:c r="E478" s="46" t="n">
        <x:v>-0.05310915398985849</x:v>
      </x:c>
      <x:c r="F478" t="n">
        <x:v>5</x:v>
      </x:c>
      <x:c r="G478" s="51" t="b">
        <x:v>0</x:v>
      </x:c>
      <x:c r="H478" s="51" t="b">
        <x:v>0</x:v>
      </x:c>
      <x:c r="I478" s="51" t="b">
        <x:v>0</x:v>
      </x:c>
      <x:c r="J478" s="51" t="b">
        <x:v>0</x:v>
      </x:c>
      <x:c r="K478" s="51" t="b">
        <x:v>0</x:v>
      </x:c>
      <x:c r="L478" s="51" t="b">
        <x:v>1</x:v>
      </x:c>
      <x:c r="M478" s="51" t="b">
        <x:v>0</x:v>
      </x:c>
      <x:c r="N478" s="51" t="b">
        <x:v>1</x:v>
      </x:c>
    </x:row>
    <x:row r="479">
      <x:c r="A479" t="str">
        <x:v>SUNPHARMA</x:v>
      </x:c>
      <x:c r="B479" s="52" t="n">
        <x:v>43902</x:v>
      </x:c>
      <x:c r="C479" s="53" t="n">
        <x:v>354.8</x:v>
      </x:c>
      <x:c r="D479" s="46" t="n">
        <x:v>0.08286358511837655</x:v>
      </x:c>
      <x:c r="E479" s="46" t="n">
        <x:v>-0.04650507328072151</x:v>
      </x:c>
      <x:c r="F479" t="n">
        <x:v>1</x:v>
      </x:c>
      <x:c r="G479" s="51" t="b">
        <x:v>0</x:v>
      </x:c>
      <x:c r="H479" s="51" t="b">
        <x:v>0</x:v>
      </x:c>
      <x:c r="I479" s="51" t="b">
        <x:v>0</x:v>
      </x:c>
      <x:c r="J479" s="51" t="b">
        <x:v>0</x:v>
      </x:c>
      <x:c r="K479" s="51" t="b">
        <x:v>0</x:v>
      </x:c>
      <x:c r="L479" s="51" t="b">
        <x:v>1</x:v>
      </x:c>
      <x:c r="M479" s="51" t="b">
        <x:v>0</x:v>
      </x:c>
      <x:c r="N479" s="51" t="b">
        <x:v>0</x:v>
      </x:c>
    </x:row>
    <x:row r="480">
      <x:c r="A480" t="str">
        <x:v>SUNPHARMA</x:v>
      </x:c>
      <x:c r="B480" s="52" t="n">
        <x:v>43910</x:v>
      </x:c>
      <x:c r="C480" s="53" t="n">
        <x:v>365.25</x:v>
      </x:c>
      <x:c r="D480" s="46" t="n">
        <x:v>0.14264202600958265</x:v>
      </x:c>
      <x:c r="E480" s="46" t="n">
        <x:v>0.14264202600958265</x:v>
      </x:c>
      <x:c r="F480" t="n">
        <x:v>10</x:v>
      </x:c>
      <x:c r="G480" s="51" t="b">
        <x:v>0</x:v>
      </x:c>
      <x:c r="H480" s="51" t="b">
        <x:v>0</x:v>
      </x:c>
      <x:c r="I480" s="51" t="b">
        <x:v>0</x:v>
      </x:c>
      <x:c r="J480" s="51" t="b">
        <x:v>0</x:v>
      </x:c>
      <x:c r="K480" s="51" t="b">
        <x:v>0</x:v>
      </x:c>
      <x:c r="L480" s="51" t="b">
        <x:v>1</x:v>
      </x:c>
      <x:c r="M480" s="51" t="b">
        <x:v>0</x:v>
      </x:c>
      <x:c r="N480" s="51" t="b">
        <x:v>0</x:v>
      </x:c>
    </x:row>
    <x:row r="481">
      <x:c r="A481" t="str">
        <x:v>SUNPHARMA</x:v>
      </x:c>
      <x:c r="B481" s="52" t="n">
        <x:v>43971</x:v>
      </x:c>
      <x:c r="C481" s="53" t="n">
        <x:v>455.75</x:v>
      </x:c>
      <x:c r="D481" s="46" t="n">
        <x:v>0.08579264947888099</x:v>
      </x:c>
      <x:c r="E481" s="46" t="n">
        <x:v>0.08579264947888099</x:v>
      </x:c>
      <x:c r="F481" t="n">
        <x:v>10</x:v>
      </x:c>
      <x:c r="G481" s="51" t="b">
        <x:v>0</x:v>
      </x:c>
      <x:c r="H481" s="51" t="b">
        <x:v>0</x:v>
      </x:c>
      <x:c r="I481" s="51" t="b">
        <x:v>0</x:v>
      </x:c>
      <x:c r="J481" s="51" t="b">
        <x:v>0</x:v>
      </x:c>
      <x:c r="K481" s="51" t="b">
        <x:v>0</x:v>
      </x:c>
      <x:c r="L481" s="51" t="b">
        <x:v>0</x:v>
      </x:c>
      <x:c r="M481" s="51" t="b">
        <x:v>0</x:v>
      </x:c>
      <x:c r="N481" s="51" t="b">
        <x:v>0</x:v>
      </x:c>
    </x:row>
    <x:row r="482">
      <x:c r="A482" t="str">
        <x:v>SUNPHARMA</x:v>
      </x:c>
      <x:c r="B482" s="52" t="n">
        <x:v>44032</x:v>
      </x:c>
      <x:c r="C482" s="53" t="n">
        <x:v>483.8</x:v>
      </x:c>
      <x:c r="D482" s="46" t="n">
        <x:v>0.09900785448532456</x:v>
      </x:c>
      <x:c r="E482" s="46" t="n">
        <x:v>0.07358412567176509</x:v>
      </x:c>
      <x:c r="F482" t="n">
        <x:v>9</x:v>
      </x:c>
      <x:c r="G482" s="51" t="b">
        <x:v>0</x:v>
      </x:c>
      <x:c r="H482" s="51" t="b">
        <x:v>0</x:v>
      </x:c>
      <x:c r="I482" s="51" t="b">
        <x:v>0</x:v>
      </x:c>
      <x:c r="J482" s="51" t="b">
        <x:v>0</x:v>
      </x:c>
      <x:c r="K482" s="51" t="b">
        <x:v>0</x:v>
      </x:c>
      <x:c r="L482" s="51" t="b">
        <x:v>1</x:v>
      </x:c>
      <x:c r="M482" s="51" t="b">
        <x:v>1</x:v>
      </x:c>
      <x:c r="N482" s="51" t="b">
        <x:v>0</x:v>
      </x:c>
    </x:row>
    <x:row r="483">
      <x:c r="A483" t="str">
        <x:v>SUNPHARMA</x:v>
      </x:c>
      <x:c r="B483" s="52" t="n">
        <x:v>44130</x:v>
      </x:c>
      <x:c r="C483" s="53" t="n">
        <x:v>474.5</x:v>
      </x:c>
      <x:c r="D483" s="46" t="n">
        <x:v>0.08008429926238136</x:v>
      </x:c>
      <x:c r="E483" s="46" t="n">
        <x:v>0.07513171759747106</x:v>
      </x:c>
      <x:c r="F483" t="n">
        <x:v>8</x:v>
      </x:c>
      <x:c r="G483" s="51" t="b">
        <x:v>0</x:v>
      </x:c>
      <x:c r="H483" s="51" t="b">
        <x:v>0</x:v>
      </x:c>
      <x:c r="I483" s="51" t="b">
        <x:v>0</x:v>
      </x:c>
      <x:c r="J483" s="51" t="b">
        <x:v>0</x:v>
      </x:c>
      <x:c r="K483" s="51" t="b">
        <x:v>0</x:v>
      </x:c>
      <x:c r="L483" s="51" t="b">
        <x:v>0</x:v>
      </x:c>
      <x:c r="M483" s="51" t="b">
        <x:v>1</x:v>
      </x:c>
      <x:c r="N483" s="51" t="b">
        <x:v>0</x:v>
      </x:c>
    </x:row>
    <x:row r="484">
      <x:c r="A484" t="str">
        <x:v>SUNPHARMA</x:v>
      </x:c>
      <x:c r="B484" s="52" t="n">
        <x:v>44154</x:v>
      </x:c>
      <x:c r="C484" s="53" t="n">
        <x:v>507.35</x:v>
      </x:c>
      <x:c r="D484" s="46" t="n">
        <x:v>0.12161229920173433</x:v>
      </x:c>
      <x:c r="E484" s="46" t="n">
        <x:v>0.12161229920173433</x:v>
      </x:c>
      <x:c r="F484" t="n">
        <x:v>9</x:v>
      </x:c>
      <x:c r="G484" s="51" t="b">
        <x:v>0</x:v>
      </x:c>
      <x:c r="H484" s="51" t="b">
        <x:v>0</x:v>
      </x:c>
      <x:c r="I484" s="51" t="b">
        <x:v>1</x:v>
      </x:c>
      <x:c r="J484" s="51" t="b">
        <x:v>0</x:v>
      </x:c>
      <x:c r="K484" s="51" t="b">
        <x:v>0</x:v>
      </x:c>
      <x:c r="L484" s="51" t="b">
        <x:v>0</x:v>
      </x:c>
      <x:c r="M484" s="51" t="b">
        <x:v>1</x:v>
      </x:c>
      <x:c r="N484" s="51" t="b">
        <x:v>1</x:v>
      </x:c>
    </x:row>
    <x:row r="485">
      <x:c r="A485" t="str">
        <x:v>SUNPHARMA</x:v>
      </x:c>
      <x:c r="B485" s="52" t="n">
        <x:v>44186</x:v>
      </x:c>
      <x:c r="C485" s="53" t="n">
        <x:v>552.55</x:v>
      </x:c>
      <x:c r="D485" s="46" t="n">
        <x:v>0.09383766175006802</x:v>
      </x:c>
      <x:c r="E485" s="46" t="n">
        <x:v>0.09211836032938203</x:v>
      </x:c>
      <x:c r="F485" t="n">
        <x:v>9</x:v>
      </x:c>
      <x:c r="G485" s="51" t="b">
        <x:v>0</x:v>
      </x:c>
      <x:c r="H485" s="51" t="b">
        <x:v>0</x:v>
      </x:c>
      <x:c r="I485" s="51" t="b">
        <x:v>0</x:v>
      </x:c>
      <x:c r="J485" s="51" t="b">
        <x:v>0</x:v>
      </x:c>
      <x:c r="K485" s="51" t="b">
        <x:v>1</x:v>
      </x:c>
      <x:c r="L485" s="51" t="b">
        <x:v>0</x:v>
      </x:c>
      <x:c r="M485" s="51" t="b">
        <x:v>1</x:v>
      </x:c>
      <x:c r="N485" s="51" t="b">
        <x:v>0</x:v>
      </x:c>
    </x:row>
    <x:row r="486">
      <x:c r="A486" t="str">
        <x:v>SUNPHARMA</x:v>
      </x:c>
      <x:c r="B486" s="52" t="n">
        <x:v>44214</x:v>
      </x:c>
      <x:c r="C486" s="53" t="n">
        <x:v>581.45</x:v>
      </x:c>
      <x:c r="D486" s="46" t="n">
        <x:v>0.15719322383695933</x:v>
      </x:c>
      <x:c r="E486" s="46" t="n">
        <x:v>0.15719322383695933</x:v>
      </x:c>
      <x:c r="F486" t="n">
        <x:v>10</x:v>
      </x:c>
      <x:c r="G486" s="51" t="b">
        <x:v>0</x:v>
      </x:c>
      <x:c r="H486" s="51" t="b">
        <x:v>0</x:v>
      </x:c>
      <x:c r="I486" s="51" t="b">
        <x:v>0</x:v>
      </x:c>
      <x:c r="J486" s="51" t="b">
        <x:v>0</x:v>
      </x:c>
      <x:c r="K486" s="51" t="b">
        <x:v>0</x:v>
      </x:c>
      <x:c r="L486" s="51" t="b">
        <x:v>0</x:v>
      </x:c>
      <x:c r="M486" s="51" t="b">
        <x:v>1</x:v>
      </x:c>
      <x:c r="N486" s="51" t="b">
        <x:v>0</x:v>
      </x:c>
    </x:row>
    <x:row r="487">
      <x:c r="A487" t="str">
        <x:v>SUNPHARMA</x:v>
      </x:c>
      <x:c r="B487" s="52" t="n">
        <x:v>44392</x:v>
      </x:c>
      <x:c r="C487" s="53" t="n">
        <x:v>683</x:v>
      </x:c>
      <x:c r="D487" s="46" t="n">
        <x:v>0.13316251830161052</x:v>
      </x:c>
      <x:c r="E487" s="46" t="n">
        <x:v>0.13316251830161052</x:v>
      </x:c>
      <x:c r="F487" t="n">
        <x:v>10</x:v>
      </x:c>
      <x:c r="G487" s="51" t="b">
        <x:v>0</x:v>
      </x:c>
      <x:c r="H487" s="51" t="b">
        <x:v>0</x:v>
      </x:c>
      <x:c r="I487" s="51" t="b">
        <x:v>0</x:v>
      </x:c>
      <x:c r="J487" s="51" t="b">
        <x:v>0</x:v>
      </x:c>
      <x:c r="K487" s="51" t="b">
        <x:v>0</x:v>
      </x:c>
      <x:c r="L487" s="51" t="b">
        <x:v>0</x:v>
      </x:c>
      <x:c r="M487" s="51" t="b">
        <x:v>1</x:v>
      </x:c>
      <x:c r="N487" s="51" t="b">
        <x:v>1</x:v>
      </x:c>
    </x:row>
    <x:row r="488">
      <x:c r="A488" t="str">
        <x:v>SUNPHARMA</x:v>
      </x:c>
      <x:c r="B488" s="52" t="n">
        <x:v>44459</x:v>
      </x:c>
      <x:c r="C488" s="53" t="n">
        <x:v>756.5</x:v>
      </x:c>
      <x:c r="D488" s="46" t="n">
        <x:v>0.09980171844018515</x:v>
      </x:c>
      <x:c r="E488" s="46" t="n">
        <x:v>0.09980171844018515</x:v>
      </x:c>
      <x:c r="F488" t="n">
        <x:v>8</x:v>
      </x:c>
      <x:c r="G488" s="51" t="b">
        <x:v>0</x:v>
      </x:c>
      <x:c r="H488" s="51" t="b">
        <x:v>0</x:v>
      </x:c>
      <x:c r="I488" s="51" t="b">
        <x:v>0</x:v>
      </x:c>
      <x:c r="J488" s="51" t="b">
        <x:v>0</x:v>
      </x:c>
      <x:c r="K488" s="51" t="b">
        <x:v>0</x:v>
      </x:c>
      <x:c r="L488" s="51" t="b">
        <x:v>1</x:v>
      </x:c>
      <x:c r="M488" s="51" t="b">
        <x:v>1</x:v>
      </x:c>
      <x:c r="N488" s="51" t="b">
        <x:v>1</x:v>
      </x:c>
    </x:row>
    <x:row r="489">
      <x:c r="A489" t="str">
        <x:v>SUNPHARMA</x:v>
      </x:c>
      <x:c r="B489" s="52" t="n">
        <x:v>44545</x:v>
      </x:c>
      <x:c r="C489" s="53" t="n">
        <x:v>775.1</x:v>
      </x:c>
      <x:c r="D489" s="46" t="n">
        <x:v>0.0821829441362405</x:v>
      </x:c>
      <x:c r="E489" s="46" t="n">
        <x:v>0.0821829441362405</x:v>
      </x:c>
      <x:c r="F489" t="n">
        <x:v>10</x:v>
      </x:c>
      <x:c r="G489" s="51" t="b">
        <x:v>1</x:v>
      </x:c>
      <x:c r="H489" s="51" t="b">
        <x:v>0</x:v>
      </x:c>
      <x:c r="I489" s="51" t="b">
        <x:v>0</x:v>
      </x:c>
      <x:c r="J489" s="51" t="b">
        <x:v>1</x:v>
      </x:c>
      <x:c r="K489" s="51" t="b">
        <x:v>0</x:v>
      </x:c>
      <x:c r="L489" s="51" t="b">
        <x:v>0</x:v>
      </x:c>
      <x:c r="M489" s="51" t="b">
        <x:v>1</x:v>
      </x:c>
      <x:c r="N489" s="51" t="b">
        <x:v>1</x:v>
      </x:c>
    </x:row>
    <x:row r="490">
      <x:c r="A490" t="str">
        <x:v>SUNPHARMA</x:v>
      </x:c>
      <x:c r="B490" s="52" t="n">
        <x:v>44581</x:v>
      </x:c>
      <x:c r="C490" s="53" t="n">
        <x:v>820</x:v>
      </x:c>
      <x:c r="D490" s="46" t="n">
        <x:v>0.09018292682926843</x:v>
      </x:c>
      <x:c r="E490" s="46" t="n">
        <x:v>0.09018292682926843</x:v>
      </x:c>
      <x:c r="F490" t="n">
        <x:v>7</x:v>
      </x:c>
      <x:c r="G490" s="51" t="b">
        <x:v>0</x:v>
      </x:c>
      <x:c r="H490" s="51" t="b">
        <x:v>0</x:v>
      </x:c>
      <x:c r="I490" s="51" t="b">
        <x:v>0</x:v>
      </x:c>
      <x:c r="J490" s="51" t="b">
        <x:v>0</x:v>
      </x:c>
      <x:c r="K490" s="51" t="b">
        <x:v>0</x:v>
      </x:c>
      <x:c r="L490" s="51" t="b">
        <x:v>1</x:v>
      </x:c>
      <x:c r="M490" s="51" t="b">
        <x:v>1</x:v>
      </x:c>
      <x:c r="N490" s="51" t="b">
        <x:v>1</x:v>
      </x:c>
    </x:row>
    <x:row r="491">
      <x:c r="A491" t="str">
        <x:v>SUNPHARMA</x:v>
      </x:c>
      <x:c r="B491" s="52" t="n">
        <x:v>44616</x:v>
      </x:c>
      <x:c r="C491" s="53" t="n">
        <x:v>818.25</x:v>
      </x:c>
      <x:c r="D491" s="46" t="n">
        <x:v>0.10235258172930028</x:v>
      </x:c>
      <x:c r="E491" s="46" t="n">
        <x:v>0.10235258172930028</x:v>
      </x:c>
      <x:c r="F491" t="n">
        <x:v>10</x:v>
      </x:c>
      <x:c r="G491" s="51" t="b">
        <x:v>0</x:v>
      </x:c>
      <x:c r="H491" s="51" t="b">
        <x:v>0</x:v>
      </x:c>
      <x:c r="I491" s="51" t="b">
        <x:v>0</x:v>
      </x:c>
      <x:c r="J491" s="51" t="b">
        <x:v>0</x:v>
      </x:c>
      <x:c r="K491" s="51" t="b">
        <x:v>0</x:v>
      </x:c>
      <x:c r="L491" s="51" t="b">
        <x:v>0</x:v>
      </x:c>
      <x:c r="M491" s="51" t="b">
        <x:v>0</x:v>
      </x:c>
      <x:c r="N491" s="51" t="b">
        <x:v>0</x:v>
      </x:c>
    </x:row>
    <x:row r="492">
      <x:c r="A492" t="str">
        <x:v>SUNPHARMA</x:v>
      </x:c>
      <x:c r="B492" s="52" t="n">
        <x:v>44693</x:v>
      </x:c>
      <x:c r="C492" s="53" t="n">
        <x:v>850</x:v>
      </x:c>
      <x:c r="D492" s="46" t="n">
        <x:v>0.08476470588235285</x:v>
      </x:c>
      <x:c r="E492" s="46" t="n">
        <x:v>0.05876470588235305</x:v>
      </x:c>
      <x:c r="F492" t="n">
        <x:v>7</x:v>
      </x:c>
      <x:c r="G492" s="51" t="b">
        <x:v>0</x:v>
      </x:c>
      <x:c r="H492" s="51" t="b">
        <x:v>0</x:v>
      </x:c>
      <x:c r="I492" s="51" t="b">
        <x:v>0</x:v>
      </x:c>
      <x:c r="J492" s="51" t="b">
        <x:v>0</x:v>
      </x:c>
      <x:c r="K492" s="51" t="b">
        <x:v>0</x:v>
      </x:c>
      <x:c r="L492" s="51" t="b">
        <x:v>1</x:v>
      </x:c>
      <x:c r="M492" s="51" t="b">
        <x:v>0</x:v>
      </x:c>
      <x:c r="N492" s="51" t="b">
        <x:v>0</x:v>
      </x:c>
    </x:row>
    <x:row r="493">
      <x:c r="A493" t="str">
        <x:v>SUNPHARMA</x:v>
      </x:c>
      <x:c r="B493" s="52" t="n">
        <x:v>44762</x:v>
      </x:c>
      <x:c r="C493" s="53" t="n">
        <x:v>867.5</x:v>
      </x:c>
      <x:c r="D493" s="46" t="n">
        <x:v>0.08726224783861669</x:v>
      </x:c>
      <x:c r="E493" s="46" t="n">
        <x:v>0.03400576368876074</x:v>
      </x:c>
      <x:c r="F493" t="n">
        <x:v>7</x:v>
      </x:c>
      <x:c r="G493" s="51" t="b">
        <x:v>0</x:v>
      </x:c>
      <x:c r="H493" s="51" t="b">
        <x:v>0</x:v>
      </x:c>
      <x:c r="I493" s="51" t="b">
        <x:v>0</x:v>
      </x:c>
      <x:c r="J493" s="51" t="b">
        <x:v>0</x:v>
      </x:c>
      <x:c r="K493" s="51" t="b">
        <x:v>0</x:v>
      </x:c>
      <x:c r="L493" s="51" t="b">
        <x:v>1</x:v>
      </x:c>
      <x:c r="M493" s="51" t="b">
        <x:v>0</x:v>
      </x:c>
      <x:c r="N493" s="51" t="b">
        <x:v>1</x:v>
      </x:c>
    </x:row>
    <x:row r="494">
      <x:c r="A494" t="str">
        <x:v>SUNPHARMA</x:v>
      </x:c>
      <x:c r="B494" s="52" t="n">
        <x:v>44820</x:v>
      </x:c>
      <x:c r="C494" s="53" t="n">
        <x:v>868.05</x:v>
      </x:c>
      <x:c r="D494" s="46" t="n">
        <x:v>0.09285179425148327</x:v>
      </x:c>
      <x:c r="E494" s="46" t="n">
        <x:v>0.09285179425148327</x:v>
      </x:c>
      <x:c r="F494" t="n">
        <x:v>10</x:v>
      </x:c>
      <x:c r="G494" s="51" t="b">
        <x:v>0</x:v>
      </x:c>
      <x:c r="H494" s="51" t="b">
        <x:v>0</x:v>
      </x:c>
      <x:c r="I494" s="51" t="b">
        <x:v>0</x:v>
      </x:c>
      <x:c r="J494" s="51" t="b">
        <x:v>0</x:v>
      </x:c>
      <x:c r="K494" s="51" t="b">
        <x:v>0</x:v>
      </x:c>
      <x:c r="L494" s="51" t="b">
        <x:v>0</x:v>
      </x:c>
      <x:c r="M494" s="51" t="b">
        <x:v>0</x:v>
      </x:c>
      <x:c r="N494" s="51" t="b">
        <x:v>1</x:v>
      </x:c>
    </x:row>
    <x:row r="495">
      <x:c r="A495" t="str">
        <x:v>SUNPHARMA</x:v>
      </x:c>
      <x:c r="B495" s="52" t="n">
        <x:v>45069</x:v>
      </x:c>
      <x:c r="C495" s="53" t="n">
        <x:v>931.6</x:v>
      </x:c>
      <x:c r="D495" s="46" t="n">
        <x:v>0.08823529411764697</x:v>
      </x:c>
      <x:c r="E495" s="46" t="n">
        <x:v>0.08823529411764697</x:v>
      </x:c>
      <x:c r="F495" t="n">
        <x:v>9</x:v>
      </x:c>
      <x:c r="G495" s="51" t="b">
        <x:v>0</x:v>
      </x:c>
      <x:c r="H495" s="51" t="b">
        <x:v>0</x:v>
      </x:c>
      <x:c r="I495" s="51" t="b">
        <x:v>1</x:v>
      </x:c>
      <x:c r="J495" s="51" t="b">
        <x:v>0</x:v>
      </x:c>
      <x:c r="K495" s="51" t="b">
        <x:v>0</x:v>
      </x:c>
      <x:c r="L495" s="51" t="b">
        <x:v>0</x:v>
      </x:c>
      <x:c r="M495" s="51" t="b">
        <x:v>0</x:v>
      </x:c>
      <x:c r="N495" s="51" t="b">
        <x:v>1</x:v>
      </x:c>
    </x:row>
    <x:row r="496">
      <x:c r="A496" t="str">
        <x:v>SUNPHARMA</x:v>
      </x:c>
      <x:c r="B496" s="52" t="n">
        <x:v>45230</x:v>
      </x:c>
      <x:c r="C496" s="53" t="n">
        <x:v>1088.6</x:v>
      </x:c>
      <x:c r="D496" s="46" t="n">
        <x:v>0.08451221752709914</x:v>
      </x:c>
      <x:c r="E496" s="46" t="n">
        <x:v>0.08194010655888295</x:v>
      </x:c>
      <x:c r="F496" t="n">
        <x:v>6</x:v>
      </x:c>
      <x:c r="G496" s="51" t="b">
        <x:v>0</x:v>
      </x:c>
      <x:c r="H496" s="51" t="b">
        <x:v>0</x:v>
      </x:c>
      <x:c r="I496" s="51" t="b">
        <x:v>0</x:v>
      </x:c>
      <x:c r="J496" s="51" t="b">
        <x:v>0</x:v>
      </x:c>
      <x:c r="K496" s="51" t="b">
        <x:v>0</x:v>
      </x:c>
      <x:c r="L496" s="51" t="b">
        <x:v>1</x:v>
      </x:c>
      <x:c r="M496" s="51" t="b">
        <x:v>0</x:v>
      </x:c>
      <x:c r="N496" s="51" t="b">
        <x:v>1</x:v>
      </x:c>
    </x:row>
    <x:row r="497">
      <x:c r="A497" t="str">
        <x:v>SUNPHARMA</x:v>
      </x:c>
      <x:c r="B497" s="52" t="n">
        <x:v>45308</x:v>
      </x:c>
      <x:c r="C497" s="53" t="n">
        <x:v>1299</x:v>
      </x:c>
      <x:c r="D497" s="46" t="n">
        <x:v>0.09195535026943813</x:v>
      </x:c>
      <x:c r="E497" s="46" t="n">
        <x:v>0.08387220939183981</x:v>
      </x:c>
      <x:c r="F497" t="n">
        <x:v>9</x:v>
      </x:c>
      <x:c r="G497" s="51" t="b">
        <x:v>0</x:v>
      </x:c>
      <x:c r="H497" s="51" t="b">
        <x:v>0</x:v>
      </x:c>
      <x:c r="I497" s="51" t="b">
        <x:v>0</x:v>
      </x:c>
      <x:c r="J497" s="51" t="b">
        <x:v>0</x:v>
      </x:c>
      <x:c r="K497" s="51" t="b">
        <x:v>1</x:v>
      </x:c>
      <x:c r="L497" s="51" t="b">
        <x:v>1</x:v>
      </x:c>
      <x:c r="M497" s="51" t="b">
        <x:v>0</x:v>
      </x:c>
      <x:c r="N497" s="51" t="b">
        <x:v>1</x:v>
      </x:c>
    </x:row>
    <x:row r="498">
      <x:c r="A498" t="str">
        <x:v>SUNPHARMA</x:v>
      </x:c>
      <x:c r="B498" s="52" t="n">
        <x:v>45484</x:v>
      </x:c>
      <x:c r="C498" s="53" t="n">
        <x:v>1581.75</x:v>
      </x:c>
      <x:c r="D498" s="46" t="n">
        <x:v>0.08376797850482065</x:v>
      </x:c>
      <x:c r="E498" s="46" t="n">
        <x:v>0.08376797850482065</x:v>
      </x:c>
      <x:c r="F498" t="n">
        <x:v>10</x:v>
      </x:c>
      <x:c r="G498" s="51" t="b">
        <x:v>0</x:v>
      </x:c>
      <x:c r="H498" s="51" t="b">
        <x:v>0</x:v>
      </x:c>
      <x:c r="I498" s="51" t="b">
        <x:v>0</x:v>
      </x:c>
      <x:c r="J498" s="51" t="b">
        <x:v>0</x:v>
      </x:c>
      <x:c r="K498" s="51" t="b">
        <x:v>0</x:v>
      </x:c>
      <x:c r="L498" s="51" t="b">
        <x:v>0</x:v>
      </x:c>
      <x:c r="M498" s="51" t="b">
        <x:v>0</x:v>
      </x:c>
      <x:c r="N498" s="51" t="b">
        <x:v>0</x:v>
      </x:c>
    </x:row>
    <x:row r="499">
      <x:c r="A499" t="str">
        <x:v>SUNPHARMA</x:v>
      </x:c>
      <x:c r="B499" s="52" t="n">
        <x:v>45719</x:v>
      </x:c>
      <x:c r="C499" s="53" t="n">
        <x:v>1585.1</x:v>
      </x:c>
      <x:c r="D499" s="46" t="n">
        <x:v>0.10264336634912619</x:v>
      </x:c>
      <x:c r="E499" s="46" t="n">
        <x:v>0.10264336634912619</x:v>
      </x:c>
      <x:c r="F499" t="n">
        <x:v>10</x:v>
      </x:c>
      <x:c r="G499" s="51" t="b">
        <x:v>0</x:v>
      </x:c>
      <x:c r="H499" s="51" t="b">
        <x:v>0</x:v>
      </x:c>
      <x:c r="I499" s="51" t="b">
        <x:v>1</x:v>
      </x:c>
      <x:c r="J499" s="51" t="b">
        <x:v>0</x:v>
      </x:c>
      <x:c r="K499" s="51" t="b">
        <x:v>0</x:v>
      </x:c>
      <x:c r="L499" s="51" t="b">
        <x:v>0</x:v>
      </x:c>
      <x:c r="M499" s="51" t="b">
        <x:v>0</x:v>
      </x:c>
      <x:c r="N499" s="51" t="b">
        <x:v>0</x:v>
      </x:c>
    </x:row>
    <x:row r="500">
      <x:c r="A500" t="str">
        <x:v>SUNPHARMA</x:v>
      </x:c>
      <x:c r="B500" s="52" t="n">
        <x:v>45754</x:v>
      </x:c>
      <x:c r="C500" s="53" t="n">
        <x:v>1666.35</x:v>
      </x:c>
      <x:c r="D500" s="46" t="n">
        <x:v>0.08254568367989923</x:v>
      </x:c>
      <x:c r="E500" s="46" t="n">
        <x:v>0.08254568367989923</x:v>
      </x:c>
      <x:c r="F500" t="n">
        <x:v>10</x:v>
      </x:c>
      <x:c r="G500" s="51" t="b">
        <x:v>0</x:v>
      </x:c>
      <x:c r="H500" s="51" t="b">
        <x:v>0</x:v>
      </x:c>
      <x:c r="I500" s="51" t="b">
        <x:v>0</x:v>
      </x:c>
      <x:c r="J500" s="51" t="b">
        <x:v>0</x:v>
      </x:c>
      <x:c r="K500" s="51" t="b">
        <x:v>1</x:v>
      </x:c>
      <x:c r="L500" s="51" t="b">
        <x:v>0</x:v>
      </x:c>
      <x:c r="M500" s="51" t="b">
        <x:v>0</x:v>
      </x:c>
      <x:c r="N500" s="51" t="b">
        <x:v>0</x:v>
      </x:c>
    </x:row>
    <x:row r="501">
      <x:c r="A501" t="str">
        <x:v>SUNPHARMA</x:v>
      </x:c>
      <x:c r="B501" s="52" t="n">
        <x:v>46129</x:v>
      </x:c>
      <x:c r="C501" s="53" t="n">
        <x:v>1675.5</x:v>
      </x:c>
      <x:c r="D501" s="46" t="n">
        <x:v>0.08833184124142046</x:v>
      </x:c>
      <x:c r="E501" s="46" t="n">
        <x:v>0.08833184124142046</x:v>
      </x:c>
      <x:c r="F501" t="n">
        <x:v>10</x:v>
      </x:c>
      <x:c r="G501" s="51" t="b">
        <x:v>0</x:v>
      </x:c>
      <x:c r="H501" s="51" t="b">
        <x:v>0</x:v>
      </x:c>
      <x:c r="I501" s="51" t="b">
        <x:v>1</x:v>
      </x:c>
      <x:c r="J501" s="51" t="b">
        <x:v>0</x:v>
      </x:c>
      <x:c r="K501" s="51" t="b">
        <x:v>0</x:v>
      </x:c>
      <x:c r="L501" s="51" t="b">
        <x:v>0</x:v>
      </x:c>
      <x:c r="M501" s="51" t="b">
        <x:v>0</x:v>
      </x:c>
      <x:c r="N501" s="51" t="b">
        <x:v>0</x:v>
      </x:c>
    </x:row>
    <x:row r="502">
      <x:c r="A502" t="str">
        <x:v>TATASTEEL</x:v>
      </x:c>
      <x:c r="B502" s="52" t="n">
        <x:v>42403</x:v>
      </x:c>
      <x:c r="C502" s="53" t="n">
        <x:v>224</x:v>
      </x:c>
      <x:c r="D502" s="46" t="n">
        <x:v>0.12165178571428581</x:v>
      </x:c>
      <x:c r="E502" s="46" t="n">
        <x:v>0.12165178571428581</x:v>
      </x:c>
      <x:c r="F502" t="n">
        <x:v>8</x:v>
      </x:c>
      <x:c r="G502" s="51" t="b">
        <x:v>0</x:v>
      </x:c>
      <x:c r="H502" s="51" t="b">
        <x:v>0</x:v>
      </x:c>
      <x:c r="I502" s="51" t="b">
        <x:v>0</x:v>
      </x:c>
      <x:c r="J502" s="51" t="b">
        <x:v>0</x:v>
      </x:c>
      <x:c r="K502" s="51" t="b">
        <x:v>0</x:v>
      </x:c>
      <x:c r="L502" s="51" t="b">
        <x:v>0</x:v>
      </x:c>
      <x:c r="M502" s="51" t="b">
        <x:v>0</x:v>
      </x:c>
      <x:c r="N502" s="51" t="b">
        <x:v>0</x:v>
      </x:c>
    </x:row>
    <x:row r="503">
      <x:c r="A503" t="str">
        <x:v>TATASTEEL</x:v>
      </x:c>
      <x:c r="B503" s="52" t="n">
        <x:v>42443</x:v>
      </x:c>
      <x:c r="C503" s="53" t="n">
        <x:v>296.7</x:v>
      </x:c>
      <x:c r="D503" s="46" t="n">
        <x:v>0.09302325581395365</x:v>
      </x:c>
      <x:c r="E503" s="46" t="n">
        <x:v>0.09302325581395365</x:v>
      </x:c>
      <x:c r="F503" t="n">
        <x:v>10</x:v>
      </x:c>
      <x:c r="G503" s="51" t="b">
        <x:v>0</x:v>
      </x:c>
      <x:c r="H503" s="51" t="b">
        <x:v>0</x:v>
      </x:c>
      <x:c r="I503" s="51" t="b">
        <x:v>0</x:v>
      </x:c>
      <x:c r="J503" s="51" t="b">
        <x:v>0</x:v>
      </x:c>
      <x:c r="K503" s="51" t="b">
        <x:v>0</x:v>
      </x:c>
      <x:c r="L503" s="51" t="b">
        <x:v>0</x:v>
      </x:c>
      <x:c r="M503" s="51" t="b">
        <x:v>1</x:v>
      </x:c>
      <x:c r="N503" s="51" t="b">
        <x:v>0</x:v>
      </x:c>
    </x:row>
    <x:row r="504">
      <x:c r="A504" t="str">
        <x:v>TATASTEEL</x:v>
      </x:c>
      <x:c r="B504" s="52" t="n">
        <x:v>42513</x:v>
      </x:c>
      <x:c r="C504" s="53" t="n">
        <x:v>313.55</x:v>
      </x:c>
      <x:c r="D504" s="46" t="n">
        <x:v>0.08642959655557325</x:v>
      </x:c>
      <x:c r="E504" s="46" t="n">
        <x:v>0.07749960133949929</x:v>
      </x:c>
      <x:c r="F504" t="n">
        <x:v>8</x:v>
      </x:c>
      <x:c r="G504" s="51" t="b">
        <x:v>0</x:v>
      </x:c>
      <x:c r="H504" s="51" t="b">
        <x:v>0</x:v>
      </x:c>
      <x:c r="I504" s="51" t="b">
        <x:v>0</x:v>
      </x:c>
      <x:c r="J504" s="51" t="b">
        <x:v>0</x:v>
      </x:c>
      <x:c r="K504" s="51" t="b">
        <x:v>0</x:v>
      </x:c>
      <x:c r="L504" s="51" t="b">
        <x:v>1</x:v>
      </x:c>
      <x:c r="M504" s="51" t="b">
        <x:v>1</x:v>
      </x:c>
      <x:c r="N504" s="51" t="b">
        <x:v>0</x:v>
      </x:c>
    </x:row>
    <x:row r="505">
      <x:c r="A505" t="str">
        <x:v>TATASTEEL</x:v>
      </x:c>
      <x:c r="B505" s="52" t="n">
        <x:v>42548</x:v>
      </x:c>
      <x:c r="C505" s="53" t="n">
        <x:v>310.5</x:v>
      </x:c>
      <x:c r="D505" s="46" t="n">
        <x:v>0.10241545893719817</x:v>
      </x:c>
      <x:c r="E505" s="46" t="n">
        <x:v>0.10241545893719817</x:v>
      </x:c>
      <x:c r="F505" t="n">
        <x:v>10</x:v>
      </x:c>
      <x:c r="G505" s="51" t="b">
        <x:v>0</x:v>
      </x:c>
      <x:c r="H505" s="51" t="b">
        <x:v>0</x:v>
      </x:c>
      <x:c r="I505" s="51" t="b">
        <x:v>0</x:v>
      </x:c>
      <x:c r="J505" s="51" t="b">
        <x:v>0</x:v>
      </x:c>
      <x:c r="K505" s="51" t="b">
        <x:v>0</x:v>
      </x:c>
      <x:c r="L505" s="51" t="b">
        <x:v>0</x:v>
      </x:c>
      <x:c r="M505" s="51" t="b">
        <x:v>1</x:v>
      </x:c>
      <x:c r="N505" s="51" t="b">
        <x:v>0</x:v>
      </x:c>
    </x:row>
    <x:row r="506">
      <x:c r="A506" t="str">
        <x:v>TATASTEEL</x:v>
      </x:c>
      <x:c r="B506" s="52" t="n">
        <x:v>42579</x:v>
      </x:c>
      <x:c r="C506" s="53" t="n">
        <x:v>349.85</x:v>
      </x:c>
      <x:c r="D506" s="46" t="n">
        <x:v>0.09103901672145187</x:v>
      </x:c>
      <x:c r="E506" s="46" t="n">
        <x:v>0.05287980563098471</x:v>
      </x:c>
      <x:c r="F506" t="n">
        <x:v>6</x:v>
      </x:c>
      <x:c r="G506" s="51" t="b">
        <x:v>0</x:v>
      </x:c>
      <x:c r="H506" s="51" t="b">
        <x:v>0</x:v>
      </x:c>
      <x:c r="I506" s="51" t="b">
        <x:v>0</x:v>
      </x:c>
      <x:c r="J506" s="51" t="b">
        <x:v>0</x:v>
      </x:c>
      <x:c r="K506" s="51" t="b">
        <x:v>1</x:v>
      </x:c>
      <x:c r="L506" s="51" t="b">
        <x:v>1</x:v>
      </x:c>
      <x:c r="M506" s="51" t="b">
        <x:v>1</x:v>
      </x:c>
      <x:c r="N506" s="51" t="b">
        <x:v>0</x:v>
      </x:c>
    </x:row>
    <x:row r="507">
      <x:c r="A507" t="str">
        <x:v>TATASTEEL</x:v>
      </x:c>
      <x:c r="B507" s="52" t="n">
        <x:v>42607</x:v>
      </x:c>
      <x:c r="C507" s="53" t="n">
        <x:v>372.3</x:v>
      </x:c>
      <x:c r="D507" s="46" t="n">
        <x:v>0.08246038141283907</x:v>
      </x:c>
      <x:c r="E507" s="46" t="n">
        <x:v>0.05989793177545</x:v>
      </x:c>
      <x:c r="F507" t="n">
        <x:v>9</x:v>
      </x:c>
      <x:c r="G507" s="51" t="b">
        <x:v>0</x:v>
      </x:c>
      <x:c r="H507" s="51" t="b">
        <x:v>0</x:v>
      </x:c>
      <x:c r="I507" s="51" t="b">
        <x:v>0</x:v>
      </x:c>
      <x:c r="J507" s="51" t="b">
        <x:v>0</x:v>
      </x:c>
      <x:c r="K507" s="51" t="b">
        <x:v>1</x:v>
      </x:c>
      <x:c r="L507" s="51" t="b">
        <x:v>0</x:v>
      </x:c>
      <x:c r="M507" s="51" t="b">
        <x:v>1</x:v>
      </x:c>
      <x:c r="N507" s="51" t="b">
        <x:v>0</x:v>
      </x:c>
    </x:row>
    <x:row r="508">
      <x:c r="A508" t="str">
        <x:v>TATASTEEL</x:v>
      </x:c>
      <x:c r="B508" s="52" t="n">
        <x:v>42636</x:v>
      </x:c>
      <x:c r="C508" s="53" t="n">
        <x:v>372</x:v>
      </x:c>
      <x:c r="D508" s="46" t="n">
        <x:v>0.09287634408602163</x:v>
      </x:c>
      <x:c r="E508" s="46" t="n">
        <x:v>0.09287634408602163</x:v>
      </x:c>
      <x:c r="F508" t="n">
        <x:v>10</x:v>
      </x:c>
      <x:c r="G508" s="51" t="b">
        <x:v>0</x:v>
      </x:c>
      <x:c r="H508" s="51" t="b">
        <x:v>0</x:v>
      </x:c>
      <x:c r="I508" s="51" t="b">
        <x:v>0</x:v>
      </x:c>
      <x:c r="J508" s="51" t="b">
        <x:v>0</x:v>
      </x:c>
      <x:c r="K508" s="51" t="b">
        <x:v>0</x:v>
      </x:c>
      <x:c r="L508" s="51" t="b">
        <x:v>1</x:v>
      </x:c>
      <x:c r="M508" s="51" t="b">
        <x:v>1</x:v>
      </x:c>
      <x:c r="N508" s="51" t="b">
        <x:v>0</x:v>
      </x:c>
    </x:row>
    <x:row r="509">
      <x:c r="A509" t="str">
        <x:v>TATASTEEL</x:v>
      </x:c>
      <x:c r="B509" s="52" t="n">
        <x:v>42670</x:v>
      </x:c>
      <x:c r="C509" s="53" t="n">
        <x:v>397.15</x:v>
      </x:c>
      <x:c r="D509" s="46" t="n">
        <x:v>0.10033992194384989</x:v>
      </x:c>
      <x:c r="E509" s="46" t="n">
        <x:v>0.10033992194384989</x:v>
      </x:c>
      <x:c r="F509" t="n">
        <x:v>10</x:v>
      </x:c>
      <x:c r="G509" s="51" t="b">
        <x:v>0</x:v>
      </x:c>
      <x:c r="H509" s="51" t="b">
        <x:v>0</x:v>
      </x:c>
      <x:c r="I509" s="51" t="b">
        <x:v>0</x:v>
      </x:c>
      <x:c r="J509" s="51" t="b">
        <x:v>0</x:v>
      </x:c>
      <x:c r="K509" s="51" t="b">
        <x:v>1</x:v>
      </x:c>
      <x:c r="L509" s="51" t="b">
        <x:v>0</x:v>
      </x:c>
      <x:c r="M509" s="51" t="b">
        <x:v>1</x:v>
      </x:c>
      <x:c r="N509" s="51" t="b">
        <x:v>0</x:v>
      </x:c>
    </x:row>
    <x:row r="510">
      <x:c r="A510" t="str">
        <x:v>TATASTEEL</x:v>
      </x:c>
      <x:c r="B510" s="52" t="n">
        <x:v>42695</x:v>
      </x:c>
      <x:c r="C510" s="53" t="n">
        <x:v>371.45</x:v>
      </x:c>
      <x:c r="D510" s="46" t="n">
        <x:v>0.11737784358594694</x:v>
      </x:c>
      <x:c r="E510" s="46" t="n">
        <x:v>0.11320500740341899</x:v>
      </x:c>
      <x:c r="F510" t="n">
        <x:v>4</x:v>
      </x:c>
      <x:c r="G510" s="51" t="b">
        <x:v>0</x:v>
      </x:c>
      <x:c r="H510" s="51" t="b">
        <x:v>0</x:v>
      </x:c>
      <x:c r="I510" s="51" t="b">
        <x:v>0</x:v>
      </x:c>
      <x:c r="J510" s="51" t="b">
        <x:v>0</x:v>
      </x:c>
      <x:c r="K510" s="51" t="b">
        <x:v>0</x:v>
      </x:c>
      <x:c r="L510" s="51" t="b">
        <x:v>0</x:v>
      </x:c>
      <x:c r="M510" s="51" t="b">
        <x:v>1</x:v>
      </x:c>
      <x:c r="N510" s="51" t="b">
        <x:v>0</x:v>
      </x:c>
    </x:row>
    <x:row r="511">
      <x:c r="A511" t="str">
        <x:v>TATASTEEL</x:v>
      </x:c>
      <x:c r="B511" s="52" t="n">
        <x:v>42730</x:v>
      </x:c>
      <x:c r="C511" s="53" t="n">
        <x:v>380.1</x:v>
      </x:c>
      <x:c r="D511" s="46" t="n">
        <x:v>0.11023414890818195</x:v>
      </x:c>
      <x:c r="E511" s="46" t="n">
        <x:v>0.11023414890818195</x:v>
      </x:c>
      <x:c r="F511" t="n">
        <x:v>8</x:v>
      </x:c>
      <x:c r="G511" s="51" t="b">
        <x:v>0</x:v>
      </x:c>
      <x:c r="H511" s="51" t="b">
        <x:v>0</x:v>
      </x:c>
      <x:c r="I511" s="51" t="b">
        <x:v>0</x:v>
      </x:c>
      <x:c r="J511" s="51" t="b">
        <x:v>0</x:v>
      </x:c>
      <x:c r="K511" s="51" t="b">
        <x:v>0</x:v>
      </x:c>
      <x:c r="L511" s="51" t="b">
        <x:v>1</x:v>
      </x:c>
      <x:c r="M511" s="51" t="b">
        <x:v>1</x:v>
      </x:c>
      <x:c r="N511" s="51" t="b">
        <x:v>0</x:v>
      </x:c>
    </x:row>
    <x:row r="512">
      <x:c r="A512" t="str">
        <x:v>TATASTEEL</x:v>
      </x:c>
      <x:c r="B512" s="52" t="n">
        <x:v>42781</x:v>
      </x:c>
      <x:c r="C512" s="53" t="n">
        <x:v>460.1</x:v>
      </x:c>
      <x:c r="D512" s="46" t="n">
        <x:v>0.08748098239513147</x:v>
      </x:c>
      <x:c r="E512" s="46" t="n">
        <x:v>0.07509237122364687</x:v>
      </x:c>
      <x:c r="F512" t="n">
        <x:v>9</x:v>
      </x:c>
      <x:c r="G512" s="51" t="b">
        <x:v>0</x:v>
      </x:c>
      <x:c r="H512" s="51" t="b">
        <x:v>0</x:v>
      </x:c>
      <x:c r="I512" s="51" t="b">
        <x:v>1</x:v>
      </x:c>
      <x:c r="J512" s="51" t="b">
        <x:v>0</x:v>
      </x:c>
      <x:c r="K512" s="51" t="b">
        <x:v>0</x:v>
      </x:c>
      <x:c r="L512" s="51" t="b">
        <x:v>0</x:v>
      </x:c>
      <x:c r="M512" s="51" t="b">
        <x:v>1</x:v>
      </x:c>
      <x:c r="N512" s="51" t="b">
        <x:v>0</x:v>
      </x:c>
    </x:row>
    <x:row r="513">
      <x:c r="A513" t="str">
        <x:v>TATASTEEL</x:v>
      </x:c>
      <x:c r="B513" s="52" t="n">
        <x:v>42858</x:v>
      </x:c>
      <x:c r="C513" s="53" t="n">
        <x:v>440.8</x:v>
      </x:c>
      <x:c r="D513" s="46" t="n">
        <x:v>0.12046279491833012</x:v>
      </x:c>
      <x:c r="E513" s="46" t="n">
        <x:v>0.12046279491833012</x:v>
      </x:c>
      <x:c r="F513" t="n">
        <x:v>10</x:v>
      </x:c>
      <x:c r="G513" s="51" t="b">
        <x:v>0</x:v>
      </x:c>
      <x:c r="H513" s="51" t="b">
        <x:v>0</x:v>
      </x:c>
      <x:c r="I513" s="51" t="b">
        <x:v>0</x:v>
      </x:c>
      <x:c r="J513" s="51" t="b">
        <x:v>0</x:v>
      </x:c>
      <x:c r="K513" s="51" t="b">
        <x:v>0</x:v>
      </x:c>
      <x:c r="L513" s="51" t="b">
        <x:v>0</x:v>
      </x:c>
      <x:c r="M513" s="51" t="b">
        <x:v>1</x:v>
      </x:c>
      <x:c r="N513" s="51" t="b">
        <x:v>0</x:v>
      </x:c>
    </x:row>
    <x:row r="514">
      <x:c r="A514" t="str">
        <x:v>TATASTEEL</x:v>
      </x:c>
      <x:c r="B514" s="52" t="n">
        <x:v>42901</x:v>
      </x:c>
      <x:c r="C514" s="53" t="n">
        <x:v>502.55</x:v>
      </x:c>
      <x:c r="D514" s="46" t="n">
        <x:v>0.08596159586110841</x:v>
      </x:c>
      <x:c r="E514" s="46" t="n">
        <x:v>0.08596159586110841</x:v>
      </x:c>
      <x:c r="F514" t="n">
        <x:v>10</x:v>
      </x:c>
      <x:c r="G514" s="51" t="b">
        <x:v>0</x:v>
      </x:c>
      <x:c r="H514" s="51" t="b">
        <x:v>0</x:v>
      </x:c>
      <x:c r="I514" s="51" t="b">
        <x:v>0</x:v>
      </x:c>
      <x:c r="J514" s="51" t="b">
        <x:v>0</x:v>
      </x:c>
      <x:c r="K514" s="51" t="b">
        <x:v>0</x:v>
      </x:c>
      <x:c r="L514" s="51" t="b">
        <x:v>0</x:v>
      </x:c>
      <x:c r="M514" s="51" t="b">
        <x:v>1</x:v>
      </x:c>
      <x:c r="N514" s="51" t="b">
        <x:v>0</x:v>
      </x:c>
    </x:row>
    <x:row r="515">
      <x:c r="A515" t="str">
        <x:v>TATASTEEL</x:v>
      </x:c>
      <x:c r="B515" s="52" t="n">
        <x:v>42940</x:v>
      </x:c>
      <x:c r="C515" s="53" t="n">
        <x:v>548.5</x:v>
      </x:c>
      <x:c r="D515" s="46" t="n">
        <x:v>0.09398359161349124</x:v>
      </x:c>
      <x:c r="E515" s="46" t="n">
        <x:v>0.09398359161349124</x:v>
      </x:c>
      <x:c r="F515" t="n">
        <x:v>10</x:v>
      </x:c>
      <x:c r="G515" s="51" t="b">
        <x:v>0</x:v>
      </x:c>
      <x:c r="H515" s="51" t="b">
        <x:v>0</x:v>
      </x:c>
      <x:c r="I515" s="51" t="b">
        <x:v>0</x:v>
      </x:c>
      <x:c r="J515" s="51" t="b">
        <x:v>0</x:v>
      </x:c>
      <x:c r="K515" s="51" t="b">
        <x:v>1</x:v>
      </x:c>
      <x:c r="L515" s="51" t="b">
        <x:v>0</x:v>
      </x:c>
      <x:c r="M515" s="51" t="b">
        <x:v>1</x:v>
      </x:c>
      <x:c r="N515" s="51" t="b">
        <x:v>0</x:v>
      </x:c>
    </x:row>
    <x:row r="516">
      <x:c r="A516" t="str">
        <x:v>TATASTEEL</x:v>
      </x:c>
      <x:c r="B516" s="52" t="n">
        <x:v>42976</x:v>
      </x:c>
      <x:c r="C516" s="53" t="n">
        <x:v>630.2</x:v>
      </x:c>
      <x:c r="D516" s="46" t="n">
        <x:v>0.08362424627102505</x:v>
      </x:c>
      <x:c r="E516" s="46" t="n">
        <x:v>0.08362424627102505</x:v>
      </x:c>
      <x:c r="F516" t="n">
        <x:v>10</x:v>
      </x:c>
      <x:c r="G516" s="51" t="b">
        <x:v>0</x:v>
      </x:c>
      <x:c r="H516" s="51" t="b">
        <x:v>0</x:v>
      </x:c>
      <x:c r="I516" s="51" t="b">
        <x:v>0</x:v>
      </x:c>
      <x:c r="J516" s="51" t="b">
        <x:v>0</x:v>
      </x:c>
      <x:c r="K516" s="51" t="b">
        <x:v>1</x:v>
      </x:c>
      <x:c r="L516" s="51" t="b">
        <x:v>0</x:v>
      </x:c>
      <x:c r="M516" s="51" t="b">
        <x:v>1</x:v>
      </x:c>
      <x:c r="N516" s="51" t="b">
        <x:v>0</x:v>
      </x:c>
    </x:row>
    <x:row r="517">
      <x:c r="A517" t="str">
        <x:v>TATASTEEL</x:v>
      </x:c>
      <x:c r="B517" s="52" t="n">
        <x:v>43003</x:v>
      </x:c>
      <x:c r="C517" s="53" t="n">
        <x:v>639.75</x:v>
      </x:c>
      <x:c r="D517" s="46" t="n">
        <x:v>0.08987885892926917</x:v>
      </x:c>
      <x:c r="E517" s="46" t="n">
        <x:v>0.07979679562329034</x:v>
      </x:c>
      <x:c r="F517" t="n">
        <x:v>8</x:v>
      </x:c>
      <x:c r="G517" s="51" t="b">
        <x:v>0</x:v>
      </x:c>
      <x:c r="H517" s="51" t="b">
        <x:v>0</x:v>
      </x:c>
      <x:c r="I517" s="51" t="b">
        <x:v>0</x:v>
      </x:c>
      <x:c r="J517" s="51" t="b">
        <x:v>0</x:v>
      </x:c>
      <x:c r="K517" s="51" t="b">
        <x:v>0</x:v>
      </x:c>
      <x:c r="L517" s="51" t="b">
        <x:v>0</x:v>
      </x:c>
      <x:c r="M517" s="51" t="b">
        <x:v>1</x:v>
      </x:c>
      <x:c r="N517" s="51" t="b">
        <x:v>0</x:v>
      </x:c>
    </x:row>
    <x:row r="518">
      <x:c r="A518" t="str">
        <x:v>TATASTEEL</x:v>
      </x:c>
      <x:c r="B518" s="52" t="n">
        <x:v>43082</x:v>
      </x:c>
      <x:c r="C518" s="53" t="n">
        <x:v>680.85</x:v>
      </x:c>
      <x:c r="D518" s="46" t="n">
        <x:v>0.08136887713887053</x:v>
      </x:c>
      <x:c r="E518" s="46" t="n">
        <x:v>0.08136887713887053</x:v>
      </x:c>
      <x:c r="F518" t="n">
        <x:v>10</x:v>
      </x:c>
      <x:c r="G518" s="51" t="b">
        <x:v>0</x:v>
      </x:c>
      <x:c r="H518" s="51" t="b">
        <x:v>0</x:v>
      </x:c>
      <x:c r="I518" s="51" t="b">
        <x:v>0</x:v>
      </x:c>
      <x:c r="J518" s="51" t="b">
        <x:v>0</x:v>
      </x:c>
      <x:c r="K518" s="51" t="b">
        <x:v>0</x:v>
      </x:c>
      <x:c r="L518" s="51" t="b">
        <x:v>0</x:v>
      </x:c>
      <x:c r="M518" s="51" t="b">
        <x:v>1</x:v>
      </x:c>
      <x:c r="N518" s="51" t="b">
        <x:v>0</x:v>
      </x:c>
    </x:row>
    <x:row r="519">
      <x:c r="A519" t="str">
        <x:v>TATASTEEL</x:v>
      </x:c>
      <x:c r="B519" s="52" t="n">
        <x:v>43194</x:v>
      </x:c>
      <x:c r="C519" s="53" t="n">
        <x:v>560.55</x:v>
      </x:c>
      <x:c r="D519" s="46" t="n">
        <x:v>0.08473820355008477</x:v>
      </x:c>
      <x:c r="E519" s="46" t="n">
        <x:v>0.07323164748907329</x:v>
      </x:c>
      <x:c r="F519" t="n">
        <x:v>5</x:v>
      </x:c>
      <x:c r="G519" s="51" t="b">
        <x:v>0</x:v>
      </x:c>
      <x:c r="H519" s="51" t="b">
        <x:v>0</x:v>
      </x:c>
      <x:c r="I519" s="51" t="b">
        <x:v>0</x:v>
      </x:c>
      <x:c r="J519" s="51" t="b">
        <x:v>0</x:v>
      </x:c>
      <x:c r="K519" s="51" t="b">
        <x:v>0</x:v>
      </x:c>
      <x:c r="L519" s="51" t="b">
        <x:v>1</x:v>
      </x:c>
      <x:c r="M519" s="51" t="b">
        <x:v>0</x:v>
      </x:c>
      <x:c r="N519" s="51" t="b">
        <x:v>1</x:v>
      </x:c>
    </x:row>
    <x:row r="520">
      <x:c r="A520" t="str">
        <x:v>TATASTEEL</x:v>
      </x:c>
      <x:c r="B520" s="52" t="n">
        <x:v>43222</x:v>
      </x:c>
      <x:c r="C520" s="53" t="n">
        <x:v>574.5</x:v>
      </x:c>
      <x:c r="D520" s="46" t="n">
        <x:v>0.08955613577023502</x:v>
      </x:c>
      <x:c r="E520" s="46" t="n">
        <x:v>0.08137510879025234</x:v>
      </x:c>
      <x:c r="F520" t="n">
        <x:v>9</x:v>
      </x:c>
      <x:c r="G520" s="51" t="b">
        <x:v>0</x:v>
      </x:c>
      <x:c r="H520" s="51" t="b">
        <x:v>0</x:v>
      </x:c>
      <x:c r="I520" s="51" t="b">
        <x:v>0</x:v>
      </x:c>
      <x:c r="J520" s="51" t="b">
        <x:v>0</x:v>
      </x:c>
      <x:c r="K520" s="51" t="b">
        <x:v>0</x:v>
      </x:c>
      <x:c r="L520" s="51" t="b">
        <x:v>1</x:v>
      </x:c>
      <x:c r="M520" s="51" t="b">
        <x:v>1</x:v>
      </x:c>
      <x:c r="N520" s="51" t="b">
        <x:v>1</x:v>
      </x:c>
    </x:row>
    <x:row r="521">
      <x:c r="A521" t="str">
        <x:v>TATASTEEL</x:v>
      </x:c>
      <x:c r="B521" s="52" t="n">
        <x:v>43244</x:v>
      </x:c>
      <x:c r="C521" s="53" t="n">
        <x:v>548.2</x:v>
      </x:c>
      <x:c r="D521" s="46" t="n">
        <x:v>0.09832178037212702</x:v>
      </x:c>
      <x:c r="E521" s="46" t="n">
        <x:v>0.09832178037212702</x:v>
      </x:c>
      <x:c r="F521" t="n">
        <x:v>10</x:v>
      </x:c>
      <x:c r="G521" s="51" t="b">
        <x:v>0</x:v>
      </x:c>
      <x:c r="H521" s="51" t="b">
        <x:v>0</x:v>
      </x:c>
      <x:c r="I521" s="51" t="b">
        <x:v>0</x:v>
      </x:c>
      <x:c r="J521" s="51" t="b">
        <x:v>0</x:v>
      </x:c>
      <x:c r="K521" s="51" t="b">
        <x:v>0</x:v>
      </x:c>
      <x:c r="L521" s="51" t="b">
        <x:v>0</x:v>
      </x:c>
      <x:c r="M521" s="51" t="b">
        <x:v>0</x:v>
      </x:c>
      <x:c r="N521" s="51" t="b">
        <x:v>1</x:v>
      </x:c>
    </x:row>
    <x:row r="522">
      <x:c r="A522" t="str">
        <x:v>TATASTEEL</x:v>
      </x:c>
      <x:c r="B522" s="52" t="n">
        <x:v>43299</x:v>
      </x:c>
      <x:c r="C522" s="53" t="n">
        <x:v>504.25</x:v>
      </x:c>
      <x:c r="D522" s="46" t="n">
        <x:v>0.11660882498760516</x:v>
      </x:c>
      <x:c r="E522" s="46" t="n">
        <x:v>0.10223103619236484</x:v>
      </x:c>
      <x:c r="F522" t="n">
        <x:v>7</x:v>
      </x:c>
      <x:c r="G522" s="51" t="b">
        <x:v>0</x:v>
      </x:c>
      <x:c r="H522" s="51" t="b">
        <x:v>0</x:v>
      </x:c>
      <x:c r="I522" s="51" t="b">
        <x:v>0</x:v>
      </x:c>
      <x:c r="J522" s="51" t="b">
        <x:v>0</x:v>
      </x:c>
      <x:c r="K522" s="51" t="b">
        <x:v>0</x:v>
      </x:c>
      <x:c r="L522" s="51" t="b">
        <x:v>0</x:v>
      </x:c>
      <x:c r="M522" s="51" t="b">
        <x:v>1</x:v>
      </x:c>
      <x:c r="N522" s="51" t="b">
        <x:v>1</x:v>
      </x:c>
    </x:row>
    <x:row r="523">
      <x:c r="A523" t="str">
        <x:v>TATASTEEL</x:v>
      </x:c>
      <x:c r="B523" s="52" t="n">
        <x:v>43315</x:v>
      </x:c>
      <x:c r="C523" s="53" t="n">
        <x:v>554.45</x:v>
      </x:c>
      <x:c r="D523" s="46" t="n">
        <x:v>0.08107133195058158</x:v>
      </x:c>
      <x:c r="E523" s="46" t="n">
        <x:v>0.08107133195058158</x:v>
      </x:c>
      <x:c r="F523" t="n">
        <x:v>10</x:v>
      </x:c>
      <x:c r="G523" s="51" t="b">
        <x:v>0</x:v>
      </x:c>
      <x:c r="H523" s="51" t="b">
        <x:v>0</x:v>
      </x:c>
      <x:c r="I523" s="51" t="b">
        <x:v>0</x:v>
      </x:c>
      <x:c r="J523" s="51" t="b">
        <x:v>0</x:v>
      </x:c>
      <x:c r="K523" s="51" t="b">
        <x:v>0</x:v>
      </x:c>
      <x:c r="L523" s="51" t="b">
        <x:v>0</x:v>
      </x:c>
      <x:c r="M523" s="51" t="b">
        <x:v>1</x:v>
      </x:c>
      <x:c r="N523" s="51" t="b">
        <x:v>1</x:v>
      </x:c>
    </x:row>
    <x:row r="524">
      <x:c r="A524" t="str">
        <x:v>TATASTEEL</x:v>
      </x:c>
      <x:c r="B524" s="52" t="n">
        <x:v>43493</x:v>
      </x:c>
      <x:c r="C524" s="53" t="n">
        <x:v>445.7</x:v>
      </x:c>
      <x:c r="D524" s="46" t="n">
        <x:v>0.09726273277989694</x:v>
      </x:c>
      <x:c r="E524" s="46" t="n">
        <x:v>0.07852815795378065</x:v>
      </x:c>
      <x:c r="F524" t="n">
        <x:v>7</x:v>
      </x:c>
      <x:c r="G524" s="51" t="b">
        <x:v>0</x:v>
      </x:c>
      <x:c r="H524" s="51" t="b">
        <x:v>0</x:v>
      </x:c>
      <x:c r="I524" s="51" t="b">
        <x:v>1</x:v>
      </x:c>
      <x:c r="J524" s="51" t="b">
        <x:v>0</x:v>
      </x:c>
      <x:c r="K524" s="51" t="b">
        <x:v>0</x:v>
      </x:c>
      <x:c r="L524" s="51" t="b">
        <x:v>0</x:v>
      </x:c>
      <x:c r="M524" s="51" t="b">
        <x:v>0</x:v>
      </x:c>
      <x:c r="N524" s="51" t="b">
        <x:v>1</x:v>
      </x:c>
    </x:row>
    <x:row r="525">
      <x:c r="A525" t="str">
        <x:v>TATASTEEL</x:v>
      </x:c>
      <x:c r="B525" s="52" t="n">
        <x:v>43511</x:v>
      </x:c>
      <x:c r="C525" s="53" t="n">
        <x:v>467.5</x:v>
      </x:c>
      <x:c r="D525" s="46" t="n">
        <x:v>0.08577540106951886</x:v>
      </x:c>
      <x:c r="E525" s="46" t="n">
        <x:v>0.08577540106951886</x:v>
      </x:c>
      <x:c r="F525" t="n">
        <x:v>6</x:v>
      </x:c>
      <x:c r="G525" s="51" t="b">
        <x:v>0</x:v>
      </x:c>
      <x:c r="H525" s="51" t="b">
        <x:v>0</x:v>
      </x:c>
      <x:c r="I525" s="51" t="b">
        <x:v>0</x:v>
      </x:c>
      <x:c r="J525" s="51" t="b">
        <x:v>0</x:v>
      </x:c>
      <x:c r="K525" s="51" t="b">
        <x:v>0</x:v>
      </x:c>
      <x:c r="L525" s="51" t="b">
        <x:v>0</x:v>
      </x:c>
      <x:c r="M525" s="51" t="b">
        <x:v>0</x:v>
      </x:c>
      <x:c r="N525" s="51" t="b">
        <x:v>1</x:v>
      </x:c>
    </x:row>
    <x:row r="526">
      <x:c r="A526" t="str">
        <x:v>TATASTEEL</x:v>
      </x:c>
      <x:c r="B526" s="52" t="n">
        <x:v>43552</x:v>
      </x:c>
      <x:c r="C526" s="53" t="n">
        <x:v>506.3</x:v>
      </x:c>
      <x:c r="D526" s="46" t="n">
        <x:v>0.09233655935216256</x:v>
      </x:c>
      <x:c r="E526" s="46" t="n">
        <x:v>0.05806833892948848</x:v>
      </x:c>
      <x:c r="F526" t="n">
        <x:v>6</x:v>
      </x:c>
      <x:c r="G526" s="51" t="b">
        <x:v>0</x:v>
      </x:c>
      <x:c r="H526" s="51" t="b">
        <x:v>0</x:v>
      </x:c>
      <x:c r="I526" s="51" t="b">
        <x:v>0</x:v>
      </x:c>
      <x:c r="J526" s="51" t="b">
        <x:v>0</x:v>
      </x:c>
      <x:c r="K526" s="51" t="b">
        <x:v>0</x:v>
      </x:c>
      <x:c r="L526" s="51" t="b">
        <x:v>1</x:v>
      </x:c>
      <x:c r="M526" s="51" t="b">
        <x:v>1</x:v>
      </x:c>
      <x:c r="N526" s="51" t="b">
        <x:v>1</x:v>
      </x:c>
    </x:row>
    <x:row r="527">
      <x:c r="A527" t="str">
        <x:v>TATASTEEL</x:v>
      </x:c>
      <x:c r="B527" s="52" t="n">
        <x:v>43580</x:v>
      </x:c>
      <x:c r="C527" s="53" t="n">
        <x:v>510.75</x:v>
      </x:c>
      <x:c r="D527" s="46" t="n">
        <x:v>0.0909446891825747</x:v>
      </x:c>
      <x:c r="E527" s="46" t="n">
        <x:v>-0.07528144884973076</x:v>
      </x:c>
      <x:c r="F527" t="n">
        <x:v>2</x:v>
      </x:c>
      <x:c r="G527" s="51" t="b">
        <x:v>0</x:v>
      </x:c>
      <x:c r="H527" s="51" t="b">
        <x:v>0</x:v>
      </x:c>
      <x:c r="I527" s="51" t="b">
        <x:v>0</x:v>
      </x:c>
      <x:c r="J527" s="51" t="b">
        <x:v>0</x:v>
      </x:c>
      <x:c r="K527" s="51" t="b">
        <x:v>0</x:v>
      </x:c>
      <x:c r="L527" s="51" t="b">
        <x:v>1</x:v>
      </x:c>
      <x:c r="M527" s="51" t="b">
        <x:v>1</x:v>
      </x:c>
      <x:c r="N527" s="51" t="b">
        <x:v>0</x:v>
      </x:c>
    </x:row>
    <x:row r="528">
      <x:c r="A528" t="str">
        <x:v>TATASTEEL</x:v>
      </x:c>
      <x:c r="B528" s="52" t="n">
        <x:v>43598</x:v>
      </x:c>
      <x:c r="C528" s="53" t="n">
        <x:v>472.3</x:v>
      </x:c>
      <x:c r="D528" s="46" t="n">
        <x:v>0.08522125767520627</x:v>
      </x:c>
      <x:c r="E528" s="46" t="n">
        <x:v>0.08522125767520627</x:v>
      </x:c>
      <x:c r="F528" t="n">
        <x:v>10</x:v>
      </x:c>
      <x:c r="G528" s="51" t="b">
        <x:v>0</x:v>
      </x:c>
      <x:c r="H528" s="51" t="b">
        <x:v>0</x:v>
      </x:c>
      <x:c r="I528" s="51" t="b">
        <x:v>0</x:v>
      </x:c>
      <x:c r="J528" s="51" t="b">
        <x:v>0</x:v>
      </x:c>
      <x:c r="K528" s="51" t="b">
        <x:v>0</x:v>
      </x:c>
      <x:c r="L528" s="51" t="b">
        <x:v>0</x:v>
      </x:c>
      <x:c r="M528" s="51" t="b">
        <x:v>1</x:v>
      </x:c>
      <x:c r="N528" s="51" t="b">
        <x:v>0</x:v>
      </x:c>
    </x:row>
    <x:row r="529">
      <x:c r="A529" t="str">
        <x:v>TATASTEEL</x:v>
      </x:c>
      <x:c r="B529" s="52" t="n">
        <x:v>43634</x:v>
      </x:c>
      <x:c r="C529" s="53" t="n">
        <x:v>472.3</x:v>
      </x:c>
      <x:c r="D529" s="46" t="n">
        <x:v>0.08130425576963796</x:v>
      </x:c>
      <x:c r="E529" s="46" t="n">
        <x:v>0.07728138894770264</x:v>
      </x:c>
      <x:c r="F529" t="n">
        <x:v>6</x:v>
      </x:c>
      <x:c r="G529" s="51" t="b">
        <x:v>0</x:v>
      </x:c>
      <x:c r="H529" s="51" t="b">
        <x:v>0</x:v>
      </x:c>
      <x:c r="I529" s="51" t="b">
        <x:v>0</x:v>
      </x:c>
      <x:c r="J529" s="51" t="b">
        <x:v>0</x:v>
      </x:c>
      <x:c r="K529" s="51" t="b">
        <x:v>0</x:v>
      </x:c>
      <x:c r="L529" s="51" t="b">
        <x:v>0</x:v>
      </x:c>
      <x:c r="M529" s="51" t="b">
        <x:v>1</x:v>
      </x:c>
      <x:c r="N529" s="51" t="b">
        <x:v>1</x:v>
      </x:c>
    </x:row>
    <x:row r="530">
      <x:c r="A530" t="str">
        <x:v>TATASTEEL</x:v>
      </x:c>
      <x:c r="B530" s="52" t="n">
        <x:v>43703</x:v>
      </x:c>
      <x:c r="C530" s="53" t="n">
        <x:v>338.05</x:v>
      </x:c>
      <x:c r="D530" s="46" t="n">
        <x:v>0.08578612631267557</x:v>
      </x:c>
      <x:c r="E530" s="46" t="n">
        <x:v>0.08578612631267557</x:v>
      </x:c>
      <x:c r="F530" t="n">
        <x:v>10</x:v>
      </x:c>
      <x:c r="G530" s="51" t="b">
        <x:v>0</x:v>
      </x:c>
      <x:c r="H530" s="51" t="b">
        <x:v>0</x:v>
      </x:c>
      <x:c r="I530" s="51" t="b">
        <x:v>0</x:v>
      </x:c>
      <x:c r="J530" s="51" t="b">
        <x:v>0</x:v>
      </x:c>
      <x:c r="K530" s="51" t="b">
        <x:v>0</x:v>
      </x:c>
      <x:c r="L530" s="51" t="b">
        <x:v>0</x:v>
      </x:c>
      <x:c r="M530" s="51" t="b">
        <x:v>0</x:v>
      </x:c>
      <x:c r="N530" s="51" t="b">
        <x:v>1</x:v>
      </x:c>
    </x:row>
    <x:row r="531">
      <x:c r="A531" t="str">
        <x:v>TATASTEEL</x:v>
      </x:c>
      <x:c r="B531" s="52" t="n">
        <x:v>43725</x:v>
      </x:c>
      <x:c r="C531" s="53" t="n">
        <x:v>344.95</x:v>
      </x:c>
      <x:c r="D531" s="46" t="n">
        <x:v>0.09392665603710704</x:v>
      </x:c>
      <x:c r="E531" s="46" t="n">
        <x:v>0.01913320771126248</x:v>
      </x:c>
      <x:c r="F531" t="n">
        <x:v>4</x:v>
      </x:c>
      <x:c r="G531" s="51" t="b">
        <x:v>0</x:v>
      </x:c>
      <x:c r="H531" s="51" t="b">
        <x:v>0</x:v>
      </x:c>
      <x:c r="I531" s="51" t="b">
        <x:v>0</x:v>
      </x:c>
      <x:c r="J531" s="51" t="b">
        <x:v>0</x:v>
      </x:c>
      <x:c r="K531" s="51" t="b">
        <x:v>0</x:v>
      </x:c>
      <x:c r="L531" s="51" t="b">
        <x:v>1</x:v>
      </x:c>
      <x:c r="M531" s="51" t="b">
        <x:v>0</x:v>
      </x:c>
      <x:c r="N531" s="51" t="b">
        <x:v>1</x:v>
      </x:c>
    </x:row>
    <x:row r="532">
      <x:c r="A532" t="str">
        <x:v>TATASTEEL</x:v>
      </x:c>
      <x:c r="B532" s="52" t="n">
        <x:v>43745</x:v>
      </x:c>
      <x:c r="C532" s="53" t="n">
        <x:v>324.8</x:v>
      </x:c>
      <x:c r="D532" s="46" t="n">
        <x:v>0.1071428571428572</x:v>
      </x:c>
      <x:c r="E532" s="46" t="n">
        <x:v>0.09667487684729048</x:v>
      </x:c>
      <x:c r="F532" t="n">
        <x:v>7</x:v>
      </x:c>
      <x:c r="G532" s="51" t="b">
        <x:v>0</x:v>
      </x:c>
      <x:c r="H532" s="51" t="b">
        <x:v>0</x:v>
      </x:c>
      <x:c r="I532" s="51" t="b">
        <x:v>0</x:v>
      </x:c>
      <x:c r="J532" s="51" t="b">
        <x:v>0</x:v>
      </x:c>
      <x:c r="K532" s="51" t="b">
        <x:v>0</x:v>
      </x:c>
      <x:c r="L532" s="51" t="b">
        <x:v>1</x:v>
      </x:c>
      <x:c r="M532" s="51" t="b">
        <x:v>0</x:v>
      </x:c>
      <x:c r="N532" s="51" t="b">
        <x:v>1</x:v>
      </x:c>
    </x:row>
    <x:row r="533">
      <x:c r="A533" t="str">
        <x:v>TATASTEEL</x:v>
      </x:c>
      <x:c r="B533" s="52" t="n">
        <x:v>43783</x:v>
      </x:c>
      <x:c r="C533" s="53" t="n">
        <x:v>391.95</x:v>
      </x:c>
      <x:c r="D533" s="46" t="n">
        <x:v>0.10243653527235619</x:v>
      </x:c>
      <x:c r="E533" s="46" t="n">
        <x:v>0.10243653527235619</x:v>
      </x:c>
      <x:c r="F533" t="n">
        <x:v>8</x:v>
      </x:c>
      <x:c r="G533" s="51" t="b">
        <x:v>0</x:v>
      </x:c>
      <x:c r="H533" s="51" t="b">
        <x:v>0</x:v>
      </x:c>
      <x:c r="I533" s="51" t="b">
        <x:v>0</x:v>
      </x:c>
      <x:c r="J533" s="51" t="b">
        <x:v>0</x:v>
      </x:c>
      <x:c r="K533" s="51" t="b">
        <x:v>1</x:v>
      </x:c>
      <x:c r="L533" s="51" t="b">
        <x:v>0</x:v>
      </x:c>
      <x:c r="M533" s="51" t="b">
        <x:v>0</x:v>
      </x:c>
      <x:c r="N533" s="51" t="b">
        <x:v>1</x:v>
      </x:c>
    </x:row>
    <x:row r="534">
      <x:c r="A534" t="str">
        <x:v>TATASTEEL</x:v>
      </x:c>
      <x:c r="B534" s="52" t="n">
        <x:v>43802</x:v>
      </x:c>
      <x:c r="C534" s="53" t="n">
        <x:v>399.65</x:v>
      </x:c>
      <x:c r="D534" s="46" t="n">
        <x:v>0.09946202927561609</x:v>
      </x:c>
      <x:c r="E534" s="46" t="n">
        <x:v>0.09946202927561609</x:v>
      </x:c>
      <x:c r="F534" t="n">
        <x:v>10</x:v>
      </x:c>
      <x:c r="G534" s="51" t="b">
        <x:v>0</x:v>
      </x:c>
      <x:c r="H534" s="51" t="b">
        <x:v>0</x:v>
      </x:c>
      <x:c r="I534" s="51" t="b">
        <x:v>0</x:v>
      </x:c>
      <x:c r="J534" s="51" t="b">
        <x:v>0</x:v>
      </x:c>
      <x:c r="K534" s="51" t="b">
        <x:v>0</x:v>
      </x:c>
      <x:c r="L534" s="51" t="b">
        <x:v>1</x:v>
      </x:c>
      <x:c r="M534" s="51" t="b">
        <x:v>1</x:v>
      </x:c>
      <x:c r="N534" s="51" t="b">
        <x:v>1</x:v>
      </x:c>
    </x:row>
    <x:row r="535">
      <x:c r="A535" t="str">
        <x:v>TATASTEEL</x:v>
      </x:c>
      <x:c r="B535" s="52" t="n">
        <x:v>43861</x:v>
      </x:c>
      <x:c r="C535" s="53" t="n">
        <x:v>438.7</x:v>
      </x:c>
      <x:c r="D535" s="46" t="n">
        <x:v>0.0886710736266243</x:v>
      </x:c>
      <x:c r="E535" s="46" t="n">
        <x:v>0.005812628219740157</x:v>
      </x:c>
      <x:c r="F535" t="n">
        <x:v>4</x:v>
      </x:c>
      <x:c r="G535" s="51" t="b">
        <x:v>0</x:v>
      </x:c>
      <x:c r="H535" s="51" t="b">
        <x:v>0</x:v>
      </x:c>
      <x:c r="I535" s="51" t="b">
        <x:v>0</x:v>
      </x:c>
      <x:c r="J535" s="51" t="b">
        <x:v>0</x:v>
      </x:c>
      <x:c r="K535" s="51" t="b">
        <x:v>0</x:v>
      </x:c>
      <x:c r="L535" s="51" t="b">
        <x:v>1</x:v>
      </x:c>
      <x:c r="M535" s="51" t="b">
        <x:v>0</x:v>
      </x:c>
      <x:c r="N535" s="51" t="b">
        <x:v>1</x:v>
      </x:c>
    </x:row>
    <x:row r="536">
      <x:c r="A536" t="str">
        <x:v>TATASTEEL</x:v>
      </x:c>
      <x:c r="B536" s="52" t="n">
        <x:v>43901</x:v>
      </x:c>
      <x:c r="C536" s="53" t="n">
        <x:v>299.75</x:v>
      </x:c>
      <x:c r="D536" s="46" t="n">
        <x:v>0.0899082568807339</x:v>
      </x:c>
      <x:c r="E536" s="46" t="n">
        <x:v>-0.0432026688907422</x:v>
      </x:c>
      <x:c r="F536" t="n">
        <x:v>2</x:v>
      </x:c>
      <x:c r="G536" s="51" t="b">
        <x:v>0</x:v>
      </x:c>
      <x:c r="H536" s="51" t="b">
        <x:v>0</x:v>
      </x:c>
      <x:c r="I536" s="51" t="b">
        <x:v>0</x:v>
      </x:c>
      <x:c r="J536" s="51" t="b">
        <x:v>0</x:v>
      </x:c>
      <x:c r="K536" s="51" t="b">
        <x:v>0</x:v>
      </x:c>
      <x:c r="L536" s="51" t="b">
        <x:v>1</x:v>
      </x:c>
      <x:c r="M536" s="51" t="b">
        <x:v>0</x:v>
      </x:c>
      <x:c r="N536" s="51" t="b">
        <x:v>0</x:v>
      </x:c>
    </x:row>
    <x:row r="537">
      <x:c r="A537" t="str">
        <x:v>TATASTEEL</x:v>
      </x:c>
      <x:c r="B537" s="52" t="n">
        <x:v>43920</x:v>
      </x:c>
      <x:c r="C537" s="53" t="n">
        <x:v>254.05</x:v>
      </x:c>
      <x:c r="D537" s="46" t="n">
        <x:v>0.15469395788230678</x:v>
      </x:c>
      <x:c r="E537" s="46" t="n">
        <x:v>0.15469395788230678</x:v>
      </x:c>
      <x:c r="F537" t="n">
        <x:v>4</x:v>
      </x:c>
      <x:c r="G537" s="51" t="b">
        <x:v>0</x:v>
      </x:c>
      <x:c r="H537" s="51" t="b">
        <x:v>0</x:v>
      </x:c>
      <x:c r="I537" s="51" t="b">
        <x:v>0</x:v>
      </x:c>
      <x:c r="J537" s="51" t="b">
        <x:v>0</x:v>
      </x:c>
      <x:c r="K537" s="51" t="b">
        <x:v>0</x:v>
      </x:c>
      <x:c r="L537" s="51" t="b">
        <x:v>1</x:v>
      </x:c>
      <x:c r="M537" s="51" t="b">
        <x:v>0</x:v>
      </x:c>
      <x:c r="N537" s="51" t="b">
        <x:v>0</x:v>
      </x:c>
    </x:row>
    <x:row r="538">
      <x:c r="A538" t="str">
        <x:v>TATASTEEL</x:v>
      </x:c>
      <x:c r="B538" s="52" t="n">
        <x:v>43942</x:v>
      </x:c>
      <x:c r="C538" s="53" t="n">
        <x:v>265.95</x:v>
      </x:c>
      <x:c r="D538" s="46" t="n">
        <x:v>0.12163940590336542</x:v>
      </x:c>
      <x:c r="E538" s="46" t="n">
        <x:v>0.044369242338785586</x:v>
      </x:c>
      <x:c r="F538" t="n">
        <x:v>7</x:v>
      </x:c>
      <x:c r="G538" s="51" t="b">
        <x:v>0</x:v>
      </x:c>
      <x:c r="H538" s="51" t="b">
        <x:v>0</x:v>
      </x:c>
      <x:c r="I538" s="51" t="b">
        <x:v>0</x:v>
      </x:c>
      <x:c r="J538" s="51" t="b">
        <x:v>0</x:v>
      </x:c>
      <x:c r="K538" s="51" t="b">
        <x:v>0</x:v>
      </x:c>
      <x:c r="L538" s="51" t="b">
        <x:v>0</x:v>
      </x:c>
      <x:c r="M538" s="51" t="b">
        <x:v>0</x:v>
      </x:c>
      <x:c r="N538" s="51" t="b">
        <x:v>0</x:v>
      </x:c>
    </x:row>
    <x:row r="539">
      <x:c r="A539" t="str">
        <x:v>TATASTEEL</x:v>
      </x:c>
      <x:c r="B539" s="52" t="n">
        <x:v>43965</x:v>
      </x:c>
      <x:c r="C539" s="53" t="n">
        <x:v>268.55</x:v>
      </x:c>
      <x:c r="D539" s="46" t="n">
        <x:v>0.1003537516291193</x:v>
      </x:c>
      <x:c r="E539" s="46" t="n">
        <x:v>0.09923664122137388</x:v>
      </x:c>
      <x:c r="F539" t="n">
        <x:v>9</x:v>
      </x:c>
      <x:c r="G539" s="51" t="b">
        <x:v>0</x:v>
      </x:c>
      <x:c r="H539" s="51" t="b">
        <x:v>0</x:v>
      </x:c>
      <x:c r="I539" s="51" t="b">
        <x:v>1</x:v>
      </x:c>
      <x:c r="J539" s="51" t="b">
        <x:v>0</x:v>
      </x:c>
      <x:c r="K539" s="51" t="b">
        <x:v>0</x:v>
      </x:c>
      <x:c r="L539" s="51" t="b">
        <x:v>1</x:v>
      </x:c>
      <x:c r="M539" s="51" t="b">
        <x:v>0</x:v>
      </x:c>
      <x:c r="N539" s="51" t="b">
        <x:v>0</x:v>
      </x:c>
    </x:row>
    <x:row r="540">
      <x:c r="A540" t="str">
        <x:v>TATASTEEL</x:v>
      </x:c>
      <x:c r="B540" s="52" t="n">
        <x:v>43997</x:v>
      </x:c>
      <x:c r="C540" s="53" t="n">
        <x:v>306.2</x:v>
      </x:c>
      <x:c r="D540" s="46" t="n">
        <x:v>0.08425865447419989</x:v>
      </x:c>
      <x:c r="E540" s="46" t="n">
        <x:v>0.047844546048334546</x:v>
      </x:c>
      <x:c r="F540" t="n">
        <x:v>6</x:v>
      </x:c>
      <x:c r="G540" s="51" t="b">
        <x:v>0</x:v>
      </x:c>
      <x:c r="H540" s="51" t="b">
        <x:v>0</x:v>
      </x:c>
      <x:c r="I540" s="51" t="b">
        <x:v>0</x:v>
      </x:c>
      <x:c r="J540" s="51" t="b">
        <x:v>0</x:v>
      </x:c>
      <x:c r="K540" s="51" t="b">
        <x:v>1</x:v>
      </x:c>
      <x:c r="L540" s="51" t="b">
        <x:v>1</x:v>
      </x:c>
      <x:c r="M540" s="51" t="b">
        <x:v>0</x:v>
      </x:c>
      <x:c r="N540" s="51" t="b">
        <x:v>0</x:v>
      </x:c>
    </x:row>
    <x:row r="541">
      <x:c r="A541" t="str">
        <x:v>TATASTEEL</x:v>
      </x:c>
      <x:c r="B541" s="52" t="n">
        <x:v>44019</x:v>
      </x:c>
      <x:c r="C541" s="53" t="n">
        <x:v>330.3</x:v>
      </x:c>
      <x:c r="D541" s="46" t="n">
        <x:v>0.08734483802603688</x:v>
      </x:c>
      <x:c r="E541" s="46" t="n">
        <x:v>0.08734483802603688</x:v>
      </x:c>
      <x:c r="F541" t="n">
        <x:v>10</x:v>
      </x:c>
      <x:c r="G541" s="51" t="b">
        <x:v>0</x:v>
      </x:c>
      <x:c r="H541" s="51" t="b">
        <x:v>0</x:v>
      </x:c>
      <x:c r="I541" s="51" t="b">
        <x:v>0</x:v>
      </x:c>
      <x:c r="J541" s="51" t="b">
        <x:v>0</x:v>
      </x:c>
      <x:c r="K541" s="51" t="b">
        <x:v>0</x:v>
      </x:c>
      <x:c r="L541" s="51" t="b">
        <x:v>1</x:v>
      </x:c>
      <x:c r="M541" s="51" t="b">
        <x:v>1</x:v>
      </x:c>
      <x:c r="N541" s="51" t="b">
        <x:v>0</x:v>
      </x:c>
    </x:row>
    <x:row r="542">
      <x:c r="A542" t="str">
        <x:v>TATASTEEL</x:v>
      </x:c>
      <x:c r="B542" s="52" t="n">
        <x:v>44027</x:v>
      </x:c>
      <x:c r="C542" s="53" t="n">
        <x:v>339.3</x:v>
      </x:c>
      <x:c r="D542" s="46" t="n">
        <x:v>0.1015325670498084</x:v>
      </x:c>
      <x:c r="E542" s="46" t="n">
        <x:v>0.1015325670498084</x:v>
      </x:c>
      <x:c r="F542" t="n">
        <x:v>10</x:v>
      </x:c>
      <x:c r="G542" s="51" t="b">
        <x:v>0</x:v>
      </x:c>
      <x:c r="H542" s="51" t="b">
        <x:v>0</x:v>
      </x:c>
      <x:c r="I542" s="51" t="b">
        <x:v>0</x:v>
      </x:c>
      <x:c r="J542" s="51" t="b">
        <x:v>0</x:v>
      </x:c>
      <x:c r="K542" s="51" t="b">
        <x:v>1</x:v>
      </x:c>
      <x:c r="L542" s="51" t="b">
        <x:v>0</x:v>
      </x:c>
      <x:c r="M542" s="51" t="b">
        <x:v>1</x:v>
      </x:c>
      <x:c r="N542" s="51" t="b">
        <x:v>0</x:v>
      </x:c>
    </x:row>
    <x:row r="543">
      <x:c r="A543" t="str">
        <x:v>TATASTEEL</x:v>
      </x:c>
      <x:c r="B543" s="52" t="n">
        <x:v>44098</x:v>
      </x:c>
      <x:c r="C543" s="53" t="n">
        <x:v>343.9</x:v>
      </x:c>
      <x:c r="D543" s="46" t="n">
        <x:v>0.1116603663855773</x:v>
      </x:c>
      <x:c r="E543" s="46" t="n">
        <x:v>0.07444024425705154</x:v>
      </x:c>
      <x:c r="F543" t="n">
        <x:v>6</x:v>
      </x:c>
      <x:c r="G543" s="51" t="b">
        <x:v>0</x:v>
      </x:c>
      <x:c r="H543" s="51" t="b">
        <x:v>0</x:v>
      </x:c>
      <x:c r="I543" s="51" t="b">
        <x:v>1</x:v>
      </x:c>
      <x:c r="J543" s="51" t="b">
        <x:v>0</x:v>
      </x:c>
      <x:c r="K543" s="51" t="b">
        <x:v>0</x:v>
      </x:c>
      <x:c r="L543" s="51" t="b">
        <x:v>0</x:v>
      </x:c>
      <x:c r="M543" s="51" t="b">
        <x:v>0</x:v>
      </x:c>
      <x:c r="N543" s="51" t="b">
        <x:v>0</x:v>
      </x:c>
    </x:row>
    <x:row r="544">
      <x:c r="A544" t="str">
        <x:v>TATASTEEL</x:v>
      </x:c>
      <x:c r="B544" s="52" t="n">
        <x:v>44111</x:v>
      </x:c>
      <x:c r="C544" s="53" t="n">
        <x:v>371.1</x:v>
      </x:c>
      <x:c r="D544" s="46" t="n">
        <x:v>0.08879008353543516</x:v>
      </x:c>
      <x:c r="E544" s="46" t="n">
        <x:v>0.08879008353543516</x:v>
      </x:c>
      <x:c r="F544" t="n">
        <x:v>10</x:v>
      </x:c>
      <x:c r="G544" s="51" t="b">
        <x:v>0</x:v>
      </x:c>
      <x:c r="H544" s="51" t="b">
        <x:v>0</x:v>
      </x:c>
      <x:c r="I544" s="51" t="b">
        <x:v>0</x:v>
      </x:c>
      <x:c r="J544" s="51" t="b">
        <x:v>0</x:v>
      </x:c>
      <x:c r="K544" s="51" t="b">
        <x:v>0</x:v>
      </x:c>
      <x:c r="L544" s="51" t="b">
        <x:v>0</x:v>
      </x:c>
      <x:c r="M544" s="51" t="b">
        <x:v>1</x:v>
      </x:c>
      <x:c r="N544" s="51" t="b">
        <x:v>0</x:v>
      </x:c>
    </x:row>
    <x:row r="545">
      <x:c r="A545" t="str">
        <x:v>TATASTEEL</x:v>
      </x:c>
      <x:c r="B545" s="52" t="n">
        <x:v>44132</x:v>
      </x:c>
      <x:c r="C545" s="53" t="n">
        <x:v>402.3</x:v>
      </x:c>
      <x:c r="D545" s="46" t="n">
        <x:v>0.17810091971165787</x:v>
      </x:c>
      <x:c r="E545" s="46" t="n">
        <x:v>0.17810091971165787</x:v>
      </x:c>
      <x:c r="F545" t="n">
        <x:v>8</x:v>
      </x:c>
      <x:c r="G545" s="51" t="b">
        <x:v>0</x:v>
      </x:c>
      <x:c r="H545" s="51" t="b">
        <x:v>0</x:v>
      </x:c>
      <x:c r="I545" s="51" t="b">
        <x:v>0</x:v>
      </x:c>
      <x:c r="J545" s="51" t="b">
        <x:v>0</x:v>
      </x:c>
      <x:c r="K545" s="51" t="b">
        <x:v>1</x:v>
      </x:c>
      <x:c r="L545" s="51" t="b">
        <x:v>0</x:v>
      </x:c>
      <x:c r="M545" s="51" t="b">
        <x:v>0</x:v>
      </x:c>
      <x:c r="N545" s="51" t="b">
        <x:v>0</x:v>
      </x:c>
    </x:row>
    <x:row r="546">
      <x:c r="A546" t="str">
        <x:v>TATASTEEL</x:v>
      </x:c>
      <x:c r="B546" s="52" t="n">
        <x:v>44183</x:v>
      </x:c>
      <x:c r="C546" s="53" t="n">
        <x:v>631.25</x:v>
      </x:c>
      <x:c r="D546" s="46" t="n">
        <x:v>0.09782178217821791</x:v>
      </x:c>
      <x:c r="E546" s="46" t="n">
        <x:v>0.09782178217821791</x:v>
      </x:c>
      <x:c r="F546" t="n">
        <x:v>10</x:v>
      </x:c>
      <x:c r="G546" s="51" t="b">
        <x:v>0</x:v>
      </x:c>
      <x:c r="H546" s="51" t="b">
        <x:v>0</x:v>
      </x:c>
      <x:c r="I546" s="51" t="b">
        <x:v>0</x:v>
      </x:c>
      <x:c r="J546" s="51" t="b">
        <x:v>0</x:v>
      </x:c>
      <x:c r="K546" s="51" t="b">
        <x:v>0</x:v>
      </x:c>
      <x:c r="L546" s="51" t="b">
        <x:v>1</x:v>
      </x:c>
      <x:c r="M546" s="51" t="b">
        <x:v>1</x:v>
      </x:c>
      <x:c r="N546" s="51" t="b">
        <x:v>1</x:v>
      </x:c>
    </x:row>
    <x:row r="547">
      <x:c r="A547" t="str">
        <x:v>TATASTEEL</x:v>
      </x:c>
      <x:c r="B547" s="52" t="n">
        <x:v>44214</x:v>
      </x:c>
      <x:c r="C547" s="53" t="n">
        <x:v>666.7</x:v>
      </x:c>
      <x:c r="D547" s="46" t="n">
        <x:v>0.6514174291285435</x:v>
      </x:c>
      <x:c r="E547" s="46" t="n">
        <x:v>0.6514174291285435</x:v>
      </x:c>
      <x:c r="F547" t="n">
        <x:v>10</x:v>
      </x:c>
      <x:c r="G547" s="51" t="b">
        <x:v>0</x:v>
      </x:c>
      <x:c r="H547" s="51" t="b">
        <x:v>0</x:v>
      </x:c>
      <x:c r="I547" s="51" t="b">
        <x:v>1</x:v>
      </x:c>
      <x:c r="J547" s="51" t="b">
        <x:v>0</x:v>
      </x:c>
      <x:c r="K547" s="51" t="b">
        <x:v>1</x:v>
      </x:c>
      <x:c r="L547" s="51" t="b">
        <x:v>0</x:v>
      </x:c>
      <x:c r="M547" s="51" t="b">
        <x:v>1</x:v>
      </x:c>
      <x:c r="N547" s="51" t="b">
        <x:v>0</x:v>
      </x:c>
    </x:row>
    <x:row r="548">
      <x:c r="A548" t="str">
        <x:v>TATASTEEL</x:v>
      </x:c>
      <x:c r="B548" s="52" t="n">
        <x:v>44365</x:v>
      </x:c>
      <x:c r="C548" s="53" t="n">
        <x:v>1092.3</x:v>
      </x:c>
      <x:c r="D548" s="46" t="n">
        <x:v>0.08395129543165791</x:v>
      </x:c>
      <x:c r="E548" s="46" t="n">
        <x:v>0.04000732399523943</x:v>
      </x:c>
      <x:c r="F548" t="n">
        <x:v>6</x:v>
      </x:c>
      <x:c r="G548" s="51" t="b">
        <x:v>0</x:v>
      </x:c>
      <x:c r="H548" s="51" t="b">
        <x:v>0</x:v>
      </x:c>
      <x:c r="I548" s="51" t="b">
        <x:v>0</x:v>
      </x:c>
      <x:c r="J548" s="51" t="b">
        <x:v>0</x:v>
      </x:c>
      <x:c r="K548" s="51" t="b">
        <x:v>0</x:v>
      </x:c>
      <x:c r="L548" s="51" t="b">
        <x:v>1</x:v>
      </x:c>
      <x:c r="M548" s="51" t="b">
        <x:v>1</x:v>
      </x:c>
      <x:c r="N548" s="51" t="b">
        <x:v>1</x:v>
      </x:c>
    </x:row>
    <x:row r="549">
      <x:c r="A549" t="str">
        <x:v>TATASTEEL</x:v>
      </x:c>
      <x:c r="B549" s="52" t="n">
        <x:v>44379</x:v>
      </x:c>
      <x:c r="C549" s="53" t="n">
        <x:v>1136</x:v>
      </x:c>
      <x:c r="D549" s="46" t="n">
        <x:v>0.12539612676056344</x:v>
      </x:c>
      <x:c r="E549" s="46" t="n">
        <x:v>0.12539612676056344</x:v>
      </x:c>
      <x:c r="F549" t="n">
        <x:v>5</x:v>
      </x:c>
      <x:c r="G549" s="51" t="b">
        <x:v>0</x:v>
      </x:c>
      <x:c r="H549" s="51" t="b">
        <x:v>0</x:v>
      </x:c>
      <x:c r="I549" s="51" t="b">
        <x:v>0</x:v>
      </x:c>
      <x:c r="J549" s="51" t="b">
        <x:v>0</x:v>
      </x:c>
      <x:c r="K549" s="51" t="b">
        <x:v>0</x:v>
      </x:c>
      <x:c r="L549" s="51" t="b">
        <x:v>0</x:v>
      </x:c>
      <x:c r="M549" s="51" t="b">
        <x:v>1</x:v>
      </x:c>
      <x:c r="N549" s="51" t="b">
        <x:v>1</x:v>
      </x:c>
    </x:row>
    <x:row r="550">
      <x:c r="A550" t="str">
        <x:v>TATASTEEL</x:v>
      </x:c>
      <x:c r="B550" s="52" t="n">
        <x:v>44418</x:v>
      </x:c>
      <x:c r="C550" s="53" t="n">
        <x:v>1373.6</x:v>
      </x:c>
      <x:c r="D550" s="46" t="n">
        <x:v>0.10614443797320927</x:v>
      </x:c>
      <x:c r="E550" s="46" t="n">
        <x:v>0.012085032032615128</x:v>
      </x:c>
      <x:c r="F550" t="n">
        <x:v>4</x:v>
      </x:c>
      <x:c r="G550" s="51" t="b">
        <x:v>0</x:v>
      </x:c>
      <x:c r="H550" s="51" t="b">
        <x:v>0</x:v>
      </x:c>
      <x:c r="I550" s="51" t="b">
        <x:v>0</x:v>
      </x:c>
      <x:c r="J550" s="51" t="b">
        <x:v>0</x:v>
      </x:c>
      <x:c r="K550" s="51" t="b">
        <x:v>1</x:v>
      </x:c>
      <x:c r="L550" s="51" t="b">
        <x:v>0</x:v>
      </x:c>
      <x:c r="M550" s="51" t="b">
        <x:v>1</x:v>
      </x:c>
      <x:c r="N550" s="51" t="b">
        <x:v>1</x:v>
      </x:c>
    </x:row>
    <x:row r="551">
      <x:c r="A551" t="str">
        <x:v>TATASTEEL</x:v>
      </x:c>
      <x:c r="B551" s="52" t="n">
        <x:v>44470</x:v>
      </x:c>
      <x:c r="C551" s="53" t="n">
        <x:v>1297.85</x:v>
      </x:c>
      <x:c r="D551" s="46" t="n">
        <x:v>0.08722117347921565</x:v>
      </x:c>
      <x:c r="E551" s="46" t="n">
        <x:v>0.08722117347921565</x:v>
      </x:c>
      <x:c r="F551" t="n">
        <x:v>10</x:v>
      </x:c>
      <x:c r="G551" s="51" t="b">
        <x:v>0</x:v>
      </x:c>
      <x:c r="H551" s="51" t="b">
        <x:v>0</x:v>
      </x:c>
      <x:c r="I551" s="51" t="b">
        <x:v>0</x:v>
      </x:c>
      <x:c r="J551" s="51" t="b">
        <x:v>0</x:v>
      </x:c>
      <x:c r="K551" s="51" t="b">
        <x:v>0</x:v>
      </x:c>
      <x:c r="L551" s="51" t="b">
        <x:v>0</x:v>
      </x:c>
      <x:c r="M551" s="51" t="b">
        <x:v>1</x:v>
      </x:c>
      <x:c r="N551" s="51" t="b">
        <x:v>1</x:v>
      </x:c>
    </x:row>
    <x:row r="552">
      <x:c r="A552" t="str">
        <x:v>TATASTEEL</x:v>
      </x:c>
      <x:c r="B552" s="52" t="n">
        <x:v>44530</x:v>
      </x:c>
      <x:c r="C552" s="53" t="n">
        <x:v>1071.2</x:v>
      </x:c>
      <x:c r="D552" s="46" t="n">
        <x:v>0.10156833457804337</x:v>
      </x:c>
      <x:c r="E552" s="46" t="n">
        <x:v>0.08961911874533235</x:v>
      </x:c>
      <x:c r="F552" t="n">
        <x:v>6</x:v>
      </x:c>
      <x:c r="G552" s="51" t="b">
        <x:v>0</x:v>
      </x:c>
      <x:c r="H552" s="51" t="b">
        <x:v>0</x:v>
      </x:c>
      <x:c r="I552" s="51" t="b">
        <x:v>0</x:v>
      </x:c>
      <x:c r="J552" s="51" t="b">
        <x:v>0</x:v>
      </x:c>
      <x:c r="K552" s="51" t="b">
        <x:v>0</x:v>
      </x:c>
      <x:c r="L552" s="51" t="b">
        <x:v>1</x:v>
      </x:c>
      <x:c r="M552" s="51" t="b">
        <x:v>1</x:v>
      </x:c>
      <x:c r="N552" s="51" t="b">
        <x:v>0</x:v>
      </x:c>
    </x:row>
    <x:row r="553">
      <x:c r="A553" t="str">
        <x:v>TATASTEEL</x:v>
      </x:c>
      <x:c r="B553" s="52" t="n">
        <x:v>44560</x:v>
      </x:c>
      <x:c r="C553" s="53" t="n">
        <x:v>1101</x:v>
      </x:c>
      <x:c r="D553" s="46" t="n">
        <x:v>0.10912806539509545</x:v>
      </x:c>
      <x:c r="E553" s="46" t="n">
        <x:v>0.10912806539509545</x:v>
      </x:c>
      <x:c r="F553" t="n">
        <x:v>10</x:v>
      </x:c>
      <x:c r="G553" s="51" t="b">
        <x:v>0</x:v>
      </x:c>
      <x:c r="H553" s="51" t="b">
        <x:v>0</x:v>
      </x:c>
      <x:c r="I553" s="51" t="b">
        <x:v>0</x:v>
      </x:c>
      <x:c r="J553" s="51" t="b">
        <x:v>0</x:v>
      </x:c>
      <x:c r="K553" s="51" t="b">
        <x:v>0</x:v>
      </x:c>
      <x:c r="L553" s="51" t="b">
        <x:v>1</x:v>
      </x:c>
      <x:c r="M553" s="51" t="b">
        <x:v>1</x:v>
      </x:c>
      <x:c r="N553" s="51" t="b">
        <x:v>1</x:v>
      </x:c>
    </x:row>
    <x:row r="554">
      <x:c r="A554" t="str">
        <x:v>TATASTEEL</x:v>
      </x:c>
      <x:c r="B554" s="52" t="n">
        <x:v>44572</x:v>
      </x:c>
      <x:c r="C554" s="53" t="n">
        <x:v>1130.25</x:v>
      </x:c>
      <x:c r="D554" s="46" t="n">
        <x:v>0.08803362088033628</x:v>
      </x:c>
      <x:c r="E554" s="46" t="n">
        <x:v>-0.018712674187126854</x:v>
      </x:c>
      <x:c r="F554" t="n">
        <x:v>2</x:v>
      </x:c>
      <x:c r="G554" s="51" t="b">
        <x:v>0</x:v>
      </x:c>
      <x:c r="H554" s="51" t="b">
        <x:v>0</x:v>
      </x:c>
      <x:c r="I554" s="51" t="b">
        <x:v>0</x:v>
      </x:c>
      <x:c r="J554" s="51" t="b">
        <x:v>0</x:v>
      </x:c>
      <x:c r="K554" s="51" t="b">
        <x:v>0</x:v>
      </x:c>
      <x:c r="L554" s="51" t="b">
        <x:v>1</x:v>
      </x:c>
      <x:c r="M554" s="51" t="b">
        <x:v>1</x:v>
      </x:c>
      <x:c r="N554" s="51" t="b">
        <x:v>1</x:v>
      </x:c>
    </x:row>
    <x:row r="555">
      <x:c r="A555" t="str">
        <x:v>TATASTEEL</x:v>
      </x:c>
      <x:c r="B555" s="52" t="n">
        <x:v>44585</x:v>
      </x:c>
      <x:c r="C555" s="53" t="n">
        <x:v>1099.2</x:v>
      </x:c>
      <x:c r="D555" s="46" t="n">
        <x:v>0.10953420669577851</x:v>
      </x:c>
      <x:c r="E555" s="46" t="n">
        <x:v>0.10953420669577851</x:v>
      </x:c>
      <x:c r="F555" t="n">
        <x:v>10</x:v>
      </x:c>
      <x:c r="G555" s="51" t="b">
        <x:v>0</x:v>
      </x:c>
      <x:c r="H555" s="51" t="b">
        <x:v>0</x:v>
      </x:c>
      <x:c r="I555" s="51" t="b">
        <x:v>0</x:v>
      </x:c>
      <x:c r="J555" s="51" t="b">
        <x:v>0</x:v>
      </x:c>
      <x:c r="K555" s="51" t="b">
        <x:v>0</x:v>
      </x:c>
      <x:c r="L555" s="51" t="b">
        <x:v>1</x:v>
      </x:c>
      <x:c r="M555" s="51" t="b">
        <x:v>0</x:v>
      </x:c>
      <x:c r="N555" s="51" t="b">
        <x:v>0</x:v>
      </x:c>
    </x:row>
    <x:row r="556">
      <x:c r="A556" t="str">
        <x:v>TATASTEEL</x:v>
      </x:c>
      <x:c r="B556" s="52" t="n">
        <x:v>44608</x:v>
      </x:c>
      <x:c r="C556" s="53" t="n">
        <x:v>1191.8</x:v>
      </x:c>
      <x:c r="D556" s="46" t="n">
        <x:v>0.09355596576606806</x:v>
      </x:c>
      <x:c r="E556" s="46" t="n">
        <x:v>0.09355596576606806</x:v>
      </x:c>
      <x:c r="F556" t="n">
        <x:v>9</x:v>
      </x:c>
      <x:c r="G556" s="51" t="b">
        <x:v>0</x:v>
      </x:c>
      <x:c r="H556" s="51" t="b">
        <x:v>0</x:v>
      </x:c>
      <x:c r="I556" s="51" t="b">
        <x:v>0</x:v>
      </x:c>
      <x:c r="J556" s="51" t="b">
        <x:v>0</x:v>
      </x:c>
      <x:c r="K556" s="51" t="b">
        <x:v>0</x:v>
      </x:c>
      <x:c r="L556" s="51" t="b">
        <x:v>0</x:v>
      </x:c>
      <x:c r="M556" s="51" t="b">
        <x:v>1</x:v>
      </x:c>
      <x:c r="N556" s="51" t="b">
        <x:v>0</x:v>
      </x:c>
    </x:row>
    <x:row r="557">
      <x:c r="A557" t="str">
        <x:v>TATASTEEL</x:v>
      </x:c>
      <x:c r="B557" s="52" t="n">
        <x:v>44635</x:v>
      </x:c>
      <x:c r="C557" s="53" t="n">
        <x:v>1233.75</x:v>
      </x:c>
      <x:c r="D557" s="46" t="n">
        <x:v>0.09467071935157034</x:v>
      </x:c>
      <x:c r="E557" s="46" t="n">
        <x:v>0.06022289766970612</x:v>
      </x:c>
      <x:c r="F557" t="n">
        <x:v>6</x:v>
      </x:c>
      <x:c r="G557" s="51" t="b">
        <x:v>0</x:v>
      </x:c>
      <x:c r="H557" s="51" t="b">
        <x:v>0</x:v>
      </x:c>
      <x:c r="I557" s="51" t="b">
        <x:v>0</x:v>
      </x:c>
      <x:c r="J557" s="51" t="b">
        <x:v>0</x:v>
      </x:c>
      <x:c r="K557" s="51" t="b">
        <x:v>1</x:v>
      </x:c>
      <x:c r="L557" s="51" t="b">
        <x:v>1</x:v>
      </x:c>
      <x:c r="M557" s="51" t="b">
        <x:v>0</x:v>
      </x:c>
      <x:c r="N557" s="51" t="b">
        <x:v>0</x:v>
      </x:c>
    </x:row>
    <x:row r="558">
      <x:c r="A558" t="str">
        <x:v>TATASTEEL</x:v>
      </x:c>
      <x:c r="B558" s="52" t="n">
        <x:v>44694</x:v>
      </x:c>
      <x:c r="C558" s="53" t="n">
        <x:v>1097</x:v>
      </x:c>
      <x:c r="D558" s="46" t="n">
        <x:v>0.08359161349134014</x:v>
      </x:c>
      <x:c r="E558" s="46" t="n">
        <x:v>-0.048769371011850526</x:v>
      </x:c>
      <x:c r="F558" t="n">
        <x:v>2</x:v>
      </x:c>
      <x:c r="G558" s="51" t="b">
        <x:v>0</x:v>
      </x:c>
      <x:c r="H558" s="51" t="b">
        <x:v>0</x:v>
      </x:c>
      <x:c r="I558" s="51" t="b">
        <x:v>0</x:v>
      </x:c>
      <x:c r="J558" s="51" t="b">
        <x:v>0</x:v>
      </x:c>
      <x:c r="K558" s="51" t="b">
        <x:v>0</x:v>
      </x:c>
      <x:c r="L558" s="51" t="b">
        <x:v>0</x:v>
      </x:c>
      <x:c r="M558" s="51" t="b">
        <x:v>0</x:v>
      </x:c>
      <x:c r="N558" s="51" t="b">
        <x:v>0</x:v>
      </x:c>
    </x:row>
    <x:row r="559">
      <x:c r="A559" t="str">
        <x:v>TATASTEEL</x:v>
      </x:c>
      <x:c r="B559" s="52" t="n">
        <x:v>44706</x:v>
      </x:c>
      <x:c r="C559" s="53" t="n">
        <x:v>999.1</x:v>
      </x:c>
      <x:c r="D559" s="46" t="n">
        <x:v>0.08772895606045439</x:v>
      </x:c>
      <x:c r="E559" s="46" t="n">
        <x:v>0.08772895606045439</x:v>
      </x:c>
      <x:c r="F559" t="n">
        <x:v>6</x:v>
      </x:c>
      <x:c r="G559" s="51" t="b">
        <x:v>0</x:v>
      </x:c>
      <x:c r="H559" s="51" t="b">
        <x:v>0</x:v>
      </x:c>
      <x:c r="I559" s="51" t="b">
        <x:v>0</x:v>
      </x:c>
      <x:c r="J559" s="51" t="b">
        <x:v>0</x:v>
      </x:c>
      <x:c r="K559" s="51" t="b">
        <x:v>0</x:v>
      </x:c>
      <x:c r="L559" s="51" t="b">
        <x:v>0</x:v>
      </x:c>
      <x:c r="M559" s="51" t="b">
        <x:v>0</x:v>
      </x:c>
      <x:c r="N559" s="51" t="b">
        <x:v>0</x:v>
      </x:c>
    </x:row>
    <x:row r="560">
      <x:c r="A560" t="str">
        <x:v>TATASTEEL</x:v>
      </x:c>
      <x:c r="B560" s="52" t="n">
        <x:v>44748</x:v>
      </x:c>
      <x:c r="C560" s="53" t="n">
        <x:v>858.15</x:v>
      </x:c>
      <x:c r="D560" s="46" t="n">
        <x:v>0.08192041018469975</x:v>
      </x:c>
      <x:c r="E560" s="46" t="n">
        <x:v>0.08192041018469975</x:v>
      </x:c>
      <x:c r="F560" t="n">
        <x:v>10</x:v>
      </x:c>
      <x:c r="G560" s="51" t="b">
        <x:v>0</x:v>
      </x:c>
      <x:c r="H560" s="51" t="b">
        <x:v>0</x:v>
      </x:c>
      <x:c r="I560" s="51" t="b">
        <x:v>0</x:v>
      </x:c>
      <x:c r="J560" s="51" t="b">
        <x:v>0</x:v>
      </x:c>
      <x:c r="K560" s="51" t="b">
        <x:v>0</x:v>
      </x:c>
      <x:c r="L560" s="51" t="b">
        <x:v>0</x:v>
      </x:c>
      <x:c r="M560" s="51" t="b">
        <x:v>0</x:v>
      </x:c>
      <x:c r="N560" s="51" t="b">
        <x:v>0</x:v>
      </x:c>
    </x:row>
    <x:row r="561">
      <x:c r="A561" t="str">
        <x:v>TATASTEEL</x:v>
      </x:c>
      <x:c r="B561" s="52" t="n">
        <x:v>44757</x:v>
      </x:c>
      <x:c r="C561" s="53" t="n">
        <x:v>883.8</x:v>
      </x:c>
      <x:c r="D561" s="46" t="n">
        <x:v>0.08701063589047298</x:v>
      </x:c>
      <x:c r="E561" s="46" t="n">
        <x:v>-0.8782529984159312</x:v>
      </x:c>
      <x:c r="F561" t="n">
        <x:v>6</x:v>
      </x:c>
      <x:c r="G561" s="51" t="b">
        <x:v>0</x:v>
      </x:c>
      <x:c r="H561" s="51" t="b">
        <x:v>0</x:v>
      </x:c>
      <x:c r="I561" s="51" t="b">
        <x:v>0</x:v>
      </x:c>
      <x:c r="J561" s="51" t="b">
        <x:v>0</x:v>
      </x:c>
      <x:c r="K561" s="51" t="b">
        <x:v>0</x:v>
      </x:c>
      <x:c r="L561" s="51" t="b">
        <x:v>1</x:v>
      </x:c>
      <x:c r="M561" s="51" t="b">
        <x:v>0</x:v>
      </x:c>
      <x:c r="N561" s="51" t="b">
        <x:v>1</x:v>
      </x:c>
    </x:row>
    <x:row r="562">
      <x:c r="A562" t="str">
        <x:v>TATASTEEL</x:v>
      </x:c>
      <x:c r="B562" s="52" t="n">
        <x:v>44770</x:v>
      </x:c>
      <x:c r="C562" s="53" t="n">
        <x:v>100.35</x:v>
      </x:c>
      <x:c r="D562" s="46" t="n">
        <x:v>0.12257100149476852</x:v>
      </x:c>
      <x:c r="E562" s="46" t="n">
        <x:v>0.12257100149476852</x:v>
      </x:c>
      <x:c r="F562" t="n">
        <x:v>8</x:v>
      </x:c>
      <x:c r="G562" s="51" t="b">
        <x:v>0</x:v>
      </x:c>
      <x:c r="H562" s="51" t="b">
        <x:v>0</x:v>
      </x:c>
      <x:c r="I562" s="51" t="b">
        <x:v>0</x:v>
      </x:c>
      <x:c r="J562" s="51" t="b">
        <x:v>0</x:v>
      </x:c>
      <x:c r="K562" s="51" t="b">
        <x:v>0</x:v>
      </x:c>
      <x:c r="L562" s="51" t="b">
        <x:v>1</x:v>
      </x:c>
      <x:c r="M562" s="51" t="b">
        <x:v>1</x:v>
      </x:c>
      <x:c r="N562" s="51" t="b">
        <x:v>1</x:v>
      </x:c>
    </x:row>
    <x:row r="563">
      <x:c r="A563" t="str">
        <x:v>TATASTEEL</x:v>
      </x:c>
      <x:c r="B563" s="52" t="n">
        <x:v>44832</x:v>
      </x:c>
      <x:c r="C563" s="53" t="n">
        <x:v>95.2</x:v>
      </x:c>
      <x:c r="D563" s="46" t="n">
        <x:v>0.08771008403361336</x:v>
      </x:c>
      <x:c r="E563" s="46" t="n">
        <x:v>0.051470588235293935</x:v>
      </x:c>
      <x:c r="F563" t="n">
        <x:v>5</x:v>
      </x:c>
      <x:c r="G563" s="51" t="b">
        <x:v>0</x:v>
      </x:c>
      <x:c r="H563" s="51" t="b">
        <x:v>0</x:v>
      </x:c>
      <x:c r="I563" s="51" t="b">
        <x:v>0</x:v>
      </x:c>
      <x:c r="J563" s="51" t="b">
        <x:v>0</x:v>
      </x:c>
      <x:c r="K563" s="51" t="b">
        <x:v>0</x:v>
      </x:c>
      <x:c r="L563" s="51" t="b">
        <x:v>0</x:v>
      </x:c>
      <x:c r="M563" s="51" t="b">
        <x:v>0</x:v>
      </x:c>
      <x:c r="N563" s="51" t="b">
        <x:v>0</x:v>
      </x:c>
    </x:row>
    <x:row r="564">
      <x:c r="A564" t="str">
        <x:v>TATASTEEL</x:v>
      </x:c>
      <x:c r="B564" s="52" t="n">
        <x:v>44886</x:v>
      </x:c>
      <x:c r="C564" s="53" t="n">
        <x:v>104.25</x:v>
      </x:c>
      <x:c r="D564" s="46" t="n">
        <x:v>0.1112709832134291</x:v>
      </x:c>
      <x:c r="E564" s="46" t="n">
        <x:v>0.1112709832134291</x:v>
      </x:c>
      <x:c r="F564" t="n">
        <x:v>10</x:v>
      </x:c>
      <x:c r="G564" s="51" t="b">
        <x:v>0</x:v>
      </x:c>
      <x:c r="H564" s="51" t="b">
        <x:v>0</x:v>
      </x:c>
      <x:c r="I564" s="51" t="b">
        <x:v>0</x:v>
      </x:c>
      <x:c r="J564" s="51" t="b">
        <x:v>0</x:v>
      </x:c>
      <x:c r="K564" s="51" t="b">
        <x:v>0</x:v>
      </x:c>
      <x:c r="L564" s="51" t="b">
        <x:v>0</x:v>
      </x:c>
      <x:c r="M564" s="51" t="b">
        <x:v>1</x:v>
      </x:c>
      <x:c r="N564" s="51" t="b">
        <x:v>1</x:v>
      </x:c>
    </x:row>
    <x:row r="565">
      <x:c r="A565" t="str">
        <x:v>TATASTEEL</x:v>
      </x:c>
      <x:c r="B565" s="52" t="n">
        <x:v>44916</x:v>
      </x:c>
      <x:c r="C565" s="53" t="n">
        <x:v>109.4</x:v>
      </x:c>
      <x:c r="D565" s="46" t="n">
        <x:v>0.09003656307129804</x:v>
      </x:c>
      <x:c r="E565" s="46" t="n">
        <x:v>0.05804387568555747</x:v>
      </x:c>
      <x:c r="F565" t="n">
        <x:v>8</x:v>
      </x:c>
      <x:c r="G565" s="51" t="b">
        <x:v>0</x:v>
      </x:c>
      <x:c r="H565" s="51" t="b">
        <x:v>0</x:v>
      </x:c>
      <x:c r="I565" s="51" t="b">
        <x:v>0</x:v>
      </x:c>
      <x:c r="J565" s="51" t="b">
        <x:v>0</x:v>
      </x:c>
      <x:c r="K565" s="51" t="b">
        <x:v>1</x:v>
      </x:c>
      <x:c r="L565" s="51" t="b">
        <x:v>0</x:v>
      </x:c>
      <x:c r="M565" s="51" t="b">
        <x:v>0</x:v>
      </x:c>
      <x:c r="N565" s="51" t="b">
        <x:v>1</x:v>
      </x:c>
    </x:row>
    <x:row r="566">
      <x:c r="A566" t="str">
        <x:v>TATASTEEL</x:v>
      </x:c>
      <x:c r="B566" s="52" t="n">
        <x:v>45156</x:v>
      </x:c>
      <x:c r="C566" s="53" t="n">
        <x:v>115.8</x:v>
      </x:c>
      <x:c r="D566" s="46" t="n">
        <x:v>0.09715025906735741</x:v>
      </x:c>
      <x:c r="E566" s="46" t="n">
        <x:v>0.09715025906735741</x:v>
      </x:c>
      <x:c r="F566" t="n">
        <x:v>10</x:v>
      </x:c>
      <x:c r="G566" s="51" t="b">
        <x:v>0</x:v>
      </x:c>
      <x:c r="H566" s="51" t="b">
        <x:v>0</x:v>
      </x:c>
      <x:c r="I566" s="51" t="b">
        <x:v>0</x:v>
      </x:c>
      <x:c r="J566" s="51" t="b">
        <x:v>0</x:v>
      </x:c>
      <x:c r="K566" s="51" t="b">
        <x:v>0</x:v>
      </x:c>
      <x:c r="L566" s="51" t="b">
        <x:v>1</x:v>
      </x:c>
      <x:c r="M566" s="51" t="b">
        <x:v>0</x:v>
      </x:c>
      <x:c r="N566" s="51" t="b">
        <x:v>1</x:v>
      </x:c>
    </x:row>
    <x:row r="567">
      <x:c r="A567" t="str">
        <x:v>TATASTEEL</x:v>
      </x:c>
      <x:c r="B567" s="52" t="n">
        <x:v>45314</x:v>
      </x:c>
      <x:c r="C567" s="53" t="n">
        <x:v>130.1</x:v>
      </x:c>
      <x:c r="D567" s="46" t="n">
        <x:v>0.11183704842428921</x:v>
      </x:c>
      <x:c r="E567" s="46" t="n">
        <x:v>0.10991544965411237</x:v>
      </x:c>
      <x:c r="F567" t="n">
        <x:v>8</x:v>
      </x:c>
      <x:c r="G567" s="51" t="b">
        <x:v>0</x:v>
      </x:c>
      <x:c r="H567" s="51" t="b">
        <x:v>0</x:v>
      </x:c>
      <x:c r="I567" s="51" t="b">
        <x:v>0</x:v>
      </x:c>
      <x:c r="J567" s="51" t="b">
        <x:v>0</x:v>
      </x:c>
      <x:c r="K567" s="51" t="b">
        <x:v>0</x:v>
      </x:c>
      <x:c r="L567" s="51" t="b">
        <x:v>0</x:v>
      </x:c>
      <x:c r="M567" s="51" t="b">
        <x:v>0</x:v>
      </x:c>
      <x:c r="N567" s="51" t="b">
        <x:v>1</x:v>
      </x:c>
    </x:row>
    <x:row r="568">
      <x:c r="A568" t="str">
        <x:v>TATASTEEL</x:v>
      </x:c>
      <x:c r="B568" s="52" t="n">
        <x:v>45341</x:v>
      </x:c>
      <x:c r="C568" s="53" t="n">
        <x:v>141.95</x:v>
      </x:c>
      <x:c r="D568" s="46" t="n">
        <x:v>0.09369496301514624</x:v>
      </x:c>
      <x:c r="E568" s="46" t="n">
        <x:v>0.09369496301514624</x:v>
      </x:c>
      <x:c r="F568" t="n">
        <x:v>10</x:v>
      </x:c>
      <x:c r="G568" s="51" t="b">
        <x:v>0</x:v>
      </x:c>
      <x:c r="H568" s="51" t="b">
        <x:v>0</x:v>
      </x:c>
      <x:c r="I568" s="51" t="b">
        <x:v>0</x:v>
      </x:c>
      <x:c r="J568" s="51" t="b">
        <x:v>0</x:v>
      </x:c>
      <x:c r="K568" s="51" t="b">
        <x:v>0</x:v>
      </x:c>
      <x:c r="L568" s="51" t="b">
        <x:v>0</x:v>
      </x:c>
      <x:c r="M568" s="51" t="b">
        <x:v>0</x:v>
      </x:c>
      <x:c r="N568" s="51" t="b">
        <x:v>1</x:v>
      </x:c>
    </x:row>
    <x:row r="569">
      <x:c r="A569" t="str">
        <x:v>TATASTEEL</x:v>
      </x:c>
      <x:c r="B569" s="52" t="n">
        <x:v>45364</x:v>
      </x:c>
      <x:c r="C569" s="53" t="n">
        <x:v>143.65</x:v>
      </x:c>
      <x:c r="D569" s="46" t="n">
        <x:v>0.0849286460146188</x:v>
      </x:c>
      <x:c r="E569" s="46" t="n">
        <x:v>0.0849286460146188</x:v>
      </x:c>
      <x:c r="F569" t="n">
        <x:v>10</x:v>
      </x:c>
      <x:c r="G569" s="51" t="b">
        <x:v>0</x:v>
      </x:c>
      <x:c r="H569" s="51" t="b">
        <x:v>0</x:v>
      </x:c>
      <x:c r="I569" s="51" t="b">
        <x:v>0</x:v>
      </x:c>
      <x:c r="J569" s="51" t="b">
        <x:v>0</x:v>
      </x:c>
      <x:c r="K569" s="51" t="b">
        <x:v>1</x:v>
      </x:c>
      <x:c r="L569" s="51" t="b">
        <x:v>1</x:v>
      </x:c>
      <x:c r="M569" s="51" t="b">
        <x:v>0</x:v>
      </x:c>
      <x:c r="N569" s="51" t="b">
        <x:v>1</x:v>
      </x:c>
    </x:row>
    <x:row r="570">
      <x:c r="A570" t="str">
        <x:v>TATASTEEL</x:v>
      </x:c>
      <x:c r="B570" s="52" t="n">
        <x:v>45421</x:v>
      </x:c>
      <x:c r="C570" s="53" t="n">
        <x:v>161.9</x:v>
      </x:c>
      <x:c r="D570" s="46" t="n">
        <x:v>0.08400247066090172</x:v>
      </x:c>
      <x:c r="E570" s="46" t="n">
        <x:v>0.08400247066090172</x:v>
      </x:c>
      <x:c r="F570" t="n">
        <x:v>10</x:v>
      </x:c>
      <x:c r="G570" s="51" t="b">
        <x:v>0</x:v>
      </x:c>
      <x:c r="H570" s="51" t="b">
        <x:v>0</x:v>
      </x:c>
      <x:c r="I570" s="51" t="b">
        <x:v>0</x:v>
      </x:c>
      <x:c r="J570" s="51" t="b">
        <x:v>0</x:v>
      </x:c>
      <x:c r="K570" s="51" t="b">
        <x:v>0</x:v>
      </x:c>
      <x:c r="L570" s="51" t="b">
        <x:v>0</x:v>
      </x:c>
      <x:c r="M570" s="51" t="b">
        <x:v>0</x:v>
      </x:c>
      <x:c r="N570" s="51" t="b">
        <x:v>1</x:v>
      </x:c>
    </x:row>
    <x:row r="571">
      <x:c r="A571" t="str">
        <x:v>TATASTEEL</x:v>
      </x:c>
      <x:c r="B571" s="52" t="n">
        <x:v>45442</x:v>
      </x:c>
      <x:c r="C571" s="53" t="n">
        <x:v>164.15</x:v>
      </x:c>
      <x:c r="D571" s="46" t="n">
        <x:v>0.11215351812366725</x:v>
      </x:c>
      <x:c r="E571" s="46" t="n">
        <x:v>0.11215351812366725</x:v>
      </x:c>
      <x:c r="F571" t="n">
        <x:v>6</x:v>
      </x:c>
      <x:c r="G571" s="51" t="b">
        <x:v>0</x:v>
      </x:c>
      <x:c r="H571" s="51" t="b">
        <x:v>0</x:v>
      </x:c>
      <x:c r="I571" s="51" t="b">
        <x:v>0</x:v>
      </x:c>
      <x:c r="J571" s="51" t="b">
        <x:v>0</x:v>
      </x:c>
      <x:c r="K571" s="51" t="b">
        <x:v>0</x:v>
      </x:c>
      <x:c r="L571" s="51" t="b">
        <x:v>0</x:v>
      </x:c>
      <x:c r="M571" s="51" t="b">
        <x:v>0</x:v>
      </x:c>
      <x:c r="N571" s="51" t="b">
        <x:v>0</x:v>
      </x:c>
    </x:row>
    <x:row r="572">
      <x:c r="A572" t="str">
        <x:v>TATASTEEL</x:v>
      </x:c>
      <x:c r="B572" s="52" t="n">
        <x:v>45546</x:v>
      </x:c>
      <x:c r="C572" s="53" t="n">
        <x:v>148.17</x:v>
      </x:c>
      <x:c r="D572" s="46" t="n">
        <x:v>0.09104407099952772</x:v>
      </x:c>
      <x:c r="E572" s="46" t="n">
        <x:v>0.09104407099952772</x:v>
      </x:c>
      <x:c r="F572" t="n">
        <x:v>9</x:v>
      </x:c>
      <x:c r="G572" s="51" t="b">
        <x:v>0</x:v>
      </x:c>
      <x:c r="H572" s="51" t="b">
        <x:v>0</x:v>
      </x:c>
      <x:c r="I572" s="51" t="b">
        <x:v>0</x:v>
      </x:c>
      <x:c r="J572" s="51" t="b">
        <x:v>0</x:v>
      </x:c>
      <x:c r="K572" s="51" t="b">
        <x:v>0</x:v>
      </x:c>
      <x:c r="L572" s="51" t="b">
        <x:v>0</x:v>
      </x:c>
      <x:c r="M572" s="51" t="b">
        <x:v>0</x:v>
      </x:c>
      <x:c r="N572" s="51" t="b">
        <x:v>0</x:v>
      </x:c>
    </x:row>
    <x:row r="573">
      <x:c r="A573" t="str">
        <x:v>TATASTEEL</x:v>
      </x:c>
      <x:c r="B573" s="52" t="n">
        <x:v>45684</x:v>
      </x:c>
      <x:c r="C573" s="53" t="n">
        <x:v>126.37</x:v>
      </x:c>
      <x:c r="D573" s="46" t="n">
        <x:v>0.09448445042335996</x:v>
      </x:c>
      <x:c r="E573" s="46" t="n">
        <x:v>0.09448445042335996</x:v>
      </x:c>
      <x:c r="F573" t="n">
        <x:v>10</x:v>
      </x:c>
      <x:c r="G573" s="51" t="b">
        <x:v>0</x:v>
      </x:c>
      <x:c r="H573" s="51" t="b">
        <x:v>0</x:v>
      </x:c>
      <x:c r="I573" s="51" t="b">
        <x:v>0</x:v>
      </x:c>
      <x:c r="J573" s="51" t="b">
        <x:v>0</x:v>
      </x:c>
      <x:c r="K573" s="51" t="b">
        <x:v>0</x:v>
      </x:c>
      <x:c r="L573" s="51" t="b">
        <x:v>0</x:v>
      </x:c>
      <x:c r="M573" s="51" t="b">
        <x:v>0</x:v>
      </x:c>
      <x:c r="N573" s="51" t="b">
        <x:v>0</x:v>
      </x:c>
    </x:row>
    <x:row r="574">
      <x:c r="A574" t="str">
        <x:v>TATASTEEL</x:v>
      </x:c>
      <x:c r="B574" s="52" t="n">
        <x:v>45699</x:v>
      </x:c>
      <x:c r="C574" s="53" t="n">
        <x:v>130.11</x:v>
      </x:c>
      <x:c r="D574" s="46" t="n">
        <x:v>0.08185381600184449</x:v>
      </x:c>
      <x:c r="E574" s="46" t="n">
        <x:v>0.053493198063177205</x:v>
      </x:c>
      <x:c r="F574" t="n">
        <x:v>8</x:v>
      </x:c>
      <x:c r="G574" s="51" t="b">
        <x:v>0</x:v>
      </x:c>
      <x:c r="H574" s="51" t="b">
        <x:v>0</x:v>
      </x:c>
      <x:c r="I574" s="51" t="b">
        <x:v>0</x:v>
      </x:c>
      <x:c r="J574" s="51" t="b">
        <x:v>0</x:v>
      </x:c>
      <x:c r="K574" s="51" t="b">
        <x:v>1</x:v>
      </x:c>
      <x:c r="L574" s="51" t="b">
        <x:v>0</x:v>
      </x:c>
      <x:c r="M574" s="51" t="b">
        <x:v>0</x:v>
      </x:c>
      <x:c r="N574" s="51" t="b">
        <x:v>0</x:v>
      </x:c>
    </x:row>
    <x:row r="575">
      <x:c r="A575" t="str">
        <x:v>TATASTEEL</x:v>
      </x:c>
      <x:c r="B575" s="52" t="n">
        <x:v>45754</x:v>
      </x:c>
      <x:c r="C575" s="53" t="n">
        <x:v>129.48</x:v>
      </x:c>
      <x:c r="D575" s="46" t="n">
        <x:v>0.09298733395118952</x:v>
      </x:c>
      <x:c r="E575" s="46" t="n">
        <x:v>0.09298733395118952</x:v>
      </x:c>
      <x:c r="F575" t="n">
        <x:v>9</x:v>
      </x:c>
      <x:c r="G575" s="51" t="b">
        <x:v>0</x:v>
      </x:c>
      <x:c r="H575" s="51" t="b">
        <x:v>0</x:v>
      </x:c>
      <x:c r="I575" s="51" t="b">
        <x:v>0</x:v>
      </x:c>
      <x:c r="J575" s="51" t="b">
        <x:v>0</x:v>
      </x:c>
      <x:c r="K575" s="51" t="b">
        <x:v>0</x:v>
      </x:c>
      <x:c r="L575" s="51" t="b">
        <x:v>0</x:v>
      </x:c>
      <x:c r="M575" s="51" t="b">
        <x:v>0</x:v>
      </x:c>
      <x:c r="N575" s="51" t="b">
        <x:v>0</x:v>
      </x:c>
    </x:row>
    <x:row r="576">
      <x:c r="A576" t="str">
        <x:v>TATASTEEL</x:v>
      </x:c>
      <x:c r="B576" s="52" t="n">
        <x:v>45772</x:v>
      </x:c>
      <x:c r="C576" s="53" t="n">
        <x:v>138.85</x:v>
      </x:c>
      <x:c r="D576" s="46" t="n">
        <x:v>0.09204177169607486</x:v>
      </x:c>
      <x:c r="E576" s="46" t="n">
        <x:v>0.09204177169607486</x:v>
      </x:c>
      <x:c r="F576" t="n">
        <x:v>10</x:v>
      </x:c>
      <x:c r="G576" s="51" t="b">
        <x:v>0</x:v>
      </x:c>
      <x:c r="H576" s="51" t="b">
        <x:v>0</x:v>
      </x:c>
      <x:c r="I576" s="51" t="b">
        <x:v>0</x:v>
      </x:c>
      <x:c r="J576" s="51" t="b">
        <x:v>0</x:v>
      </x:c>
      <x:c r="K576" s="51" t="b">
        <x:v>0</x:v>
      </x:c>
      <x:c r="L576" s="51" t="b">
        <x:v>0</x:v>
      </x:c>
      <x:c r="M576" s="51" t="b">
        <x:v>0</x:v>
      </x:c>
      <x:c r="N576" s="51" t="b">
        <x:v>0</x:v>
      </x:c>
    </x:row>
    <x:row r="577">
      <x:c r="A577" t="str">
        <x:v>TATASTEEL</x:v>
      </x:c>
      <x:c r="B577" s="52" t="n">
        <x:v>45826</x:v>
      </x:c>
      <x:c r="C577" s="53" t="n">
        <x:v>152.11</x:v>
      </x:c>
      <x:c r="D577" s="46" t="n">
        <x:v>0.09052659259746232</x:v>
      </x:c>
      <x:c r="E577" s="46" t="n">
        <x:v>0.09052659259746232</x:v>
      </x:c>
      <x:c r="F577" t="n">
        <x:v>10</x:v>
      </x:c>
      <x:c r="G577" s="51" t="b">
        <x:v>0</x:v>
      </x:c>
      <x:c r="H577" s="51" t="b">
        <x:v>0</x:v>
      </x:c>
      <x:c r="I577" s="51" t="b">
        <x:v>0</x:v>
      </x:c>
      <x:c r="J577" s="51" t="b">
        <x:v>0</x:v>
      </x:c>
      <x:c r="K577" s="51" t="b">
        <x:v>0</x:v>
      </x:c>
      <x:c r="L577" s="51" t="b">
        <x:v>0</x:v>
      </x:c>
      <x:c r="M577" s="51" t="b">
        <x:v>0</x:v>
      </x:c>
      <x:c r="N577" s="51" t="b">
        <x:v>0</x:v>
      </x:c>
    </x:row>
    <x:row r="578">
      <x:c r="A578" t="str">
        <x:v>TATASTEEL</x:v>
      </x:c>
      <x:c r="B578" s="52" t="n">
        <x:v>45895</x:v>
      </x:c>
      <x:c r="C578" s="53" t="n">
        <x:v>155.03</x:v>
      </x:c>
      <x:c r="D578" s="46" t="n">
        <x:v>0.09288524801651299</x:v>
      </x:c>
      <x:c r="E578" s="46" t="n">
        <x:v>0.09288524801651299</x:v>
      </x:c>
      <x:c r="F578" t="n">
        <x:v>5</x:v>
      </x:c>
      <x:c r="G578" s="51" t="b">
        <x:v>0</x:v>
      </x:c>
      <x:c r="H578" s="51" t="b">
        <x:v>0</x:v>
      </x:c>
      <x:c r="I578" s="51" t="b">
        <x:v>1</x:v>
      </x:c>
      <x:c r="J578" s="51" t="b">
        <x:v>0</x:v>
      </x:c>
      <x:c r="K578" s="51" t="b">
        <x:v>0</x:v>
      </x:c>
      <x:c r="L578" s="51" t="b">
        <x:v>0</x:v>
      </x:c>
      <x:c r="M578" s="51" t="b">
        <x:v>0</x:v>
      </x:c>
      <x:c r="N578" s="51" t="b">
        <x:v>0</x:v>
      </x:c>
    </x:row>
    <x:row r="579">
      <x:c r="A579" t="str">
        <x:v>TATASTEEL</x:v>
      </x:c>
      <x:c r="B579" s="52" t="n">
        <x:v>45944</x:v>
      </x:c>
      <x:c r="C579" s="53" t="n">
        <x:v>170.51</x:v>
      </x:c>
      <x:c r="D579" s="46" t="n">
        <x:v>0.08609465720485598</x:v>
      </x:c>
      <x:c r="E579" s="46" t="n">
        <x:v>0.08609465720485598</x:v>
      </x:c>
      <x:c r="F579" t="n">
        <x:v>10</x:v>
      </x:c>
      <x:c r="G579" s="51" t="b">
        <x:v>0</x:v>
      </x:c>
      <x:c r="H579" s="51" t="b">
        <x:v>0</x:v>
      </x:c>
      <x:c r="I579" s="51" t="b">
        <x:v>1</x:v>
      </x:c>
      <x:c r="J579" s="51" t="b">
        <x:v>0</x:v>
      </x:c>
      <x:c r="K579" s="51" t="b">
        <x:v>0</x:v>
      </x:c>
      <x:c r="L579" s="51" t="b">
        <x:v>0</x:v>
      </x:c>
      <x:c r="M579" s="51" t="b">
        <x:v>0</x:v>
      </x:c>
      <x:c r="N579" s="51" t="b">
        <x:v>0</x:v>
      </x:c>
    </x:row>
    <x:row r="580">
      <x:c r="A580" t="str">
        <x:v>TATASTEEL</x:v>
      </x:c>
      <x:c r="B580" s="52" t="n">
        <x:v>46009</x:v>
      </x:c>
      <x:c r="C580" s="53" t="n">
        <x:v>168.12</x:v>
      </x:c>
      <x:c r="D580" s="46" t="n">
        <x:v>0.08779443254817987</x:v>
      </x:c>
      <x:c r="E580" s="46" t="n">
        <x:v>0.08779443254817987</x:v>
      </x:c>
      <x:c r="F580" t="n">
        <x:v>9</x:v>
      </x:c>
      <x:c r="G580" s="51" t="b">
        <x:v>0</x:v>
      </x:c>
      <x:c r="H580" s="51" t="b">
        <x:v>0</x:v>
      </x:c>
      <x:c r="I580" s="51" t="b">
        <x:v>0</x:v>
      </x:c>
      <x:c r="J580" s="51" t="b">
        <x:v>0</x:v>
      </x:c>
      <x:c r="K580" s="51" t="b">
        <x:v>0</x:v>
      </x:c>
      <x:c r="L580" s="51" t="b">
        <x:v>0</x:v>
      </x:c>
      <x:c r="M580" s="51" t="b">
        <x:v>0</x:v>
      </x:c>
      <x:c r="N580" s="51" t="b">
        <x:v>0</x:v>
      </x:c>
    </x:row>
    <x:row r="581">
      <x:c r="A581" t="str">
        <x:v>TATASTEEL</x:v>
      </x:c>
      <x:c r="B581" s="52" t="n">
        <x:v>46035</x:v>
      </x:c>
      <x:c r="C581" s="53" t="n">
        <x:v>182.57</x:v>
      </x:c>
      <x:c r="D581" s="46" t="n">
        <x:v>0.1081776852714027</x:v>
      </x:c>
      <x:c r="E581" s="46" t="n">
        <x:v>0.1081776852714027</x:v>
      </x:c>
      <x:c r="F581" t="n">
        <x:v>10</x:v>
      </x:c>
      <x:c r="G581" s="51" t="b">
        <x:v>0</x:v>
      </x:c>
      <x:c r="H581" s="51" t="b">
        <x:v>0</x:v>
      </x:c>
      <x:c r="I581" s="51" t="b">
        <x:v>0</x:v>
      </x:c>
      <x:c r="J581" s="51" t="b">
        <x:v>0</x:v>
      </x:c>
      <x:c r="K581" s="51" t="b">
        <x:v>1</x:v>
      </x:c>
      <x:c r="L581" s="51" t="b">
        <x:v>0</x:v>
      </x:c>
      <x:c r="M581" s="51" t="b">
        <x:v>0</x:v>
      </x:c>
      <x:c r="N581" s="51" t="b">
        <x:v>0</x:v>
      </x:c>
    </x:row>
    <x:row r="582">
      <x:c r="A582" t="str">
        <x:v>TATASTEEL</x:v>
      </x:c>
      <x:c r="B582" s="52" t="n">
        <x:v>46054</x:v>
      </x:c>
      <x:c r="C582" s="53" t="n">
        <x:v>185.38</x:v>
      </x:c>
      <x:c r="D582" s="46" t="n">
        <x:v>0.12261301111231004</x:v>
      </x:c>
      <x:c r="E582" s="46" t="n">
        <x:v>0.0960189880245983</x:v>
      </x:c>
      <x:c r="F582" t="n">
        <x:v>6</x:v>
      </x:c>
      <x:c r="G582" s="51" t="b">
        <x:v>0</x:v>
      </x:c>
      <x:c r="H582" s="51" t="b">
        <x:v>0</x:v>
      </x:c>
      <x:c r="I582" s="51" t="b">
        <x:v>0</x:v>
      </x:c>
      <x:c r="J582" s="51" t="b">
        <x:v>0</x:v>
      </x:c>
      <x:c r="K582" s="51" t="b">
        <x:v>1</x:v>
      </x:c>
      <x:c r="L582" s="51" t="b">
        <x:v>0</x:v>
      </x:c>
      <x:c r="M582" s="51" t="b">
        <x:v>0</x:v>
      </x:c>
      <x:c r="N582" s="51" t="b">
        <x:v>0</x:v>
      </x:c>
    </x:row>
    <x:row r="583">
      <x:c r="A583" t="str">
        <x:v>TATASTEEL</x:v>
      </x:c>
      <x:c r="B583" s="52" t="n">
        <x:v>46104</x:v>
      </x:c>
      <x:c r="C583" s="53" t="n">
        <x:v>187.17</x:v>
      </x:c>
      <x:c r="D583" s="46" t="n">
        <x:v>0.09632953999038318</x:v>
      </x:c>
      <x:c r="E583" s="46" t="n">
        <x:v>0.09632953999038318</x:v>
      </x:c>
      <x:c r="F583" t="n">
        <x:v>9</x:v>
      </x:c>
      <x:c r="G583" s="51" t="b">
        <x:v>0</x:v>
      </x:c>
      <x:c r="H583" s="51" t="b">
        <x:v>0</x:v>
      </x:c>
      <x:c r="I583" s="51" t="b">
        <x:v>0</x:v>
      </x:c>
      <x:c r="J583" s="51" t="b">
        <x:v>0</x:v>
      </x:c>
      <x:c r="K583" s="51" t="b">
        <x:v>0</x:v>
      </x:c>
      <x:c r="L583" s="51" t="b">
        <x:v>0</x:v>
      </x:c>
      <x:c r="M583" s="51" t="b">
        <x:v>0</x:v>
      </x:c>
      <x:c r="N583" s="51" t="b">
        <x:v>0</x:v>
      </x:c>
    </x:row>
    <x:row r="584">
      <x:c r="A584" t="str">
        <x:v>TCS</x:v>
      </x:c>
      <x:c r="B584" s="52" t="n">
        <x:v>42429</x:v>
      </x:c>
      <x:c r="C584" s="53" t="n">
        <x:v>2176.8</x:v>
      </x:c>
      <x:c r="D584" s="46" t="n">
        <x:v>0.09020121278941562</x:v>
      </x:c>
      <x:c r="E584" s="46" t="n">
        <x:v>0.07033259830944494</x:v>
      </x:c>
      <x:c r="F584" t="n">
        <x:v>3</x:v>
      </x:c>
      <x:c r="G584" s="51" t="b">
        <x:v>0</x:v>
      </x:c>
      <x:c r="H584" s="51" t="b">
        <x:v>0</x:v>
      </x:c>
      <x:c r="I584" s="51" t="b">
        <x:v>0</x:v>
      </x:c>
      <x:c r="J584" s="51" t="b">
        <x:v>0</x:v>
      </x:c>
      <x:c r="K584" s="51" t="b">
        <x:v>0</x:v>
      </x:c>
      <x:c r="L584" s="51" t="b">
        <x:v>0</x:v>
      </x:c>
      <x:c r="M584" s="51" t="b">
        <x:v>0</x:v>
      </x:c>
      <x:c r="N584" s="51" t="b">
        <x:v>0</x:v>
      </x:c>
    </x:row>
    <x:row r="585">
      <x:c r="A585" t="str">
        <x:v>TCS</x:v>
      </x:c>
      <x:c r="B585" s="52" t="n">
        <x:v>42444</x:v>
      </x:c>
      <x:c r="C585" s="53" t="n">
        <x:v>2329.9</x:v>
      </x:c>
      <x:c r="D585" s="46" t="n">
        <x:v>0.08172024550409884</x:v>
      </x:c>
      <x:c r="E585" s="46" t="n">
        <x:v>0.08172024550409884</x:v>
      </x:c>
      <x:c r="F585" t="n">
        <x:v>10</x:v>
      </x:c>
      <x:c r="G585" s="51" t="b">
        <x:v>0</x:v>
      </x:c>
      <x:c r="H585" s="51" t="b">
        <x:v>0</x:v>
      </x:c>
      <x:c r="I585" s="51" t="b">
        <x:v>0</x:v>
      </x:c>
      <x:c r="J585" s="51" t="b">
        <x:v>0</x:v>
      </x:c>
      <x:c r="K585" s="51" t="b">
        <x:v>0</x:v>
      </x:c>
      <x:c r="L585" s="51" t="b">
        <x:v>0</x:v>
      </x:c>
      <x:c r="M585" s="51" t="b">
        <x:v>1</x:v>
      </x:c>
      <x:c r="N585" s="51" t="b">
        <x:v>0</x:v>
      </x:c>
    </x:row>
    <x:row r="586">
      <x:c r="A586" t="str">
        <x:v>TCS</x:v>
      </x:c>
      <x:c r="B586" s="52" t="n">
        <x:v>42569</x:v>
      </x:c>
      <x:c r="C586" s="53" t="n">
        <x:v>2433.45</x:v>
      </x:c>
      <x:c r="D586" s="46" t="n">
        <x:v>0.11292609258460229</x:v>
      </x:c>
      <x:c r="E586" s="46" t="n">
        <x:v>0.11292609258460229</x:v>
      </x:c>
      <x:c r="F586" t="n">
        <x:v>10</x:v>
      </x:c>
      <x:c r="G586" s="51" t="b">
        <x:v>0</x:v>
      </x:c>
      <x:c r="H586" s="51" t="b">
        <x:v>0</x:v>
      </x:c>
      <x:c r="I586" s="51" t="b">
        <x:v>0</x:v>
      </x:c>
      <x:c r="J586" s="51" t="b">
        <x:v>0</x:v>
      </x:c>
      <x:c r="K586" s="51" t="b">
        <x:v>0</x:v>
      </x:c>
      <x:c r="L586" s="51" t="b">
        <x:v>0</x:v>
      </x:c>
      <x:c r="M586" s="51" t="b">
        <x:v>1</x:v>
      </x:c>
      <x:c r="N586" s="51" t="b">
        <x:v>0</x:v>
      </x:c>
    </x:row>
    <x:row r="587">
      <x:c r="A587" t="str">
        <x:v>TCS</x:v>
      </x:c>
      <x:c r="B587" s="52" t="n">
        <x:v>42685</x:v>
      </x:c>
      <x:c r="C587" s="53" t="n">
        <x:v>2101.15</x:v>
      </x:c>
      <x:c r="D587" s="46" t="n">
        <x:v>0.09480522570973027</x:v>
      </x:c>
      <x:c r="E587" s="46" t="n">
        <x:v>0.08635747090878798</x:v>
      </x:c>
      <x:c r="F587" t="n">
        <x:v>9</x:v>
      </x:c>
      <x:c r="G587" s="51" t="b">
        <x:v>0</x:v>
      </x:c>
      <x:c r="H587" s="51" t="b">
        <x:v>0</x:v>
      </x:c>
      <x:c r="I587" s="51" t="b">
        <x:v>0</x:v>
      </x:c>
      <x:c r="J587" s="51" t="b">
        <x:v>0</x:v>
      </x:c>
      <x:c r="K587" s="51" t="b">
        <x:v>0</x:v>
      </x:c>
      <x:c r="L587" s="51" t="b">
        <x:v>0</x:v>
      </x:c>
      <x:c r="M587" s="51" t="b">
        <x:v>1</x:v>
      </x:c>
      <x:c r="N587" s="51" t="b">
        <x:v>0</x:v>
      </x:c>
    </x:row>
    <x:row r="588">
      <x:c r="A588" t="str">
        <x:v>TCS</x:v>
      </x:c>
      <x:c r="B588" s="52" t="n">
        <x:v>42711</x:v>
      </x:c>
      <x:c r="C588" s="53" t="n">
        <x:v>2154.55</x:v>
      </x:c>
      <x:c r="D588" s="46" t="n">
        <x:v>0.0857487642431134</x:v>
      </x:c>
      <x:c r="E588" s="46" t="n">
        <x:v>0.07382051936599288</x:v>
      </x:c>
      <x:c r="F588" t="n">
        <x:v>9</x:v>
      </x:c>
      <x:c r="G588" s="51" t="b">
        <x:v>0</x:v>
      </x:c>
      <x:c r="H588" s="51" t="b">
        <x:v>0</x:v>
      </x:c>
      <x:c r="I588" s="51" t="b">
        <x:v>0</x:v>
      </x:c>
      <x:c r="J588" s="51" t="b">
        <x:v>0</x:v>
      </x:c>
      <x:c r="K588" s="51" t="b">
        <x:v>0</x:v>
      </x:c>
      <x:c r="L588" s="51" t="b">
        <x:v>1</x:v>
      </x:c>
      <x:c r="M588" s="51" t="b">
        <x:v>1</x:v>
      </x:c>
      <x:c r="N588" s="51" t="b">
        <x:v>0</x:v>
      </x:c>
    </x:row>
    <x:row r="589">
      <x:c r="A589" t="str">
        <x:v>TCS</x:v>
      </x:c>
      <x:c r="B589" s="52" t="n">
        <x:v>42766</x:v>
      </x:c>
      <x:c r="C589" s="53" t="n">
        <x:v>2229.8</x:v>
      </x:c>
      <x:c r="D589" s="46" t="n">
        <x:v>0.08272042335635477</x:v>
      </x:c>
      <x:c r="E589" s="46" t="n">
        <x:v>0.07913265763745625</x:v>
      </x:c>
      <x:c r="F589" t="n">
        <x:v>9</x:v>
      </x:c>
      <x:c r="G589" s="51" t="b">
        <x:v>0</x:v>
      </x:c>
      <x:c r="H589" s="51" t="b">
        <x:v>0</x:v>
      </x:c>
      <x:c r="I589" s="51" t="b">
        <x:v>0</x:v>
      </x:c>
      <x:c r="J589" s="51" t="b">
        <x:v>0</x:v>
      </x:c>
      <x:c r="K589" s="51" t="b">
        <x:v>0</x:v>
      </x:c>
      <x:c r="L589" s="51" t="b">
        <x:v>0</x:v>
      </x:c>
      <x:c r="M589" s="51" t="b">
        <x:v>1</x:v>
      </x:c>
      <x:c r="N589" s="51" t="b">
        <x:v>0</x:v>
      </x:c>
    </x:row>
    <x:row r="590">
      <x:c r="A590" t="str">
        <x:v>TCS</x:v>
      </x:c>
      <x:c r="B590" s="52" t="n">
        <x:v>42859</x:v>
      </x:c>
      <x:c r="C590" s="53" t="n">
        <x:v>2330.1</x:v>
      </x:c>
      <x:c r="D590" s="46" t="n">
        <x:v>0.08845113943607563</x:v>
      </x:c>
      <x:c r="E590" s="46" t="n">
        <x:v>0.08845113943607563</x:v>
      </x:c>
      <x:c r="F590" t="n">
        <x:v>10</x:v>
      </x:c>
      <x:c r="G590" s="51" t="b">
        <x:v>0</x:v>
      </x:c>
      <x:c r="H590" s="51" t="b">
        <x:v>0</x:v>
      </x:c>
      <x:c r="I590" s="51" t="b">
        <x:v>0</x:v>
      </x:c>
      <x:c r="J590" s="51" t="b">
        <x:v>0</x:v>
      </x:c>
      <x:c r="K590" s="51" t="b">
        <x:v>0</x:v>
      </x:c>
      <x:c r="L590" s="51" t="b">
        <x:v>1</x:v>
      </x:c>
      <x:c r="M590" s="51" t="b">
        <x:v>1</x:v>
      </x:c>
      <x:c r="N590" s="51" t="b">
        <x:v>0</x:v>
      </x:c>
    </x:row>
    <x:row r="591">
      <x:c r="A591" t="str">
        <x:v>TCS</x:v>
      </x:c>
      <x:c r="B591" s="52" t="n">
        <x:v>43102</x:v>
      </x:c>
      <x:c r="C591" s="53" t="n">
        <x:v>2631.2</x:v>
      </x:c>
      <x:c r="D591" s="46" t="n">
        <x:v>0.08347902097902105</x:v>
      </x:c>
      <x:c r="E591" s="46" t="n">
        <x:v>0.08347902097902105</x:v>
      </x:c>
      <x:c r="F591" t="n">
        <x:v>10</x:v>
      </x:c>
      <x:c r="G591" s="51" t="b">
        <x:v>0</x:v>
      </x:c>
      <x:c r="H591" s="51" t="b">
        <x:v>0</x:v>
      </x:c>
      <x:c r="I591" s="51" t="b">
        <x:v>0</x:v>
      </x:c>
      <x:c r="J591" s="51" t="b">
        <x:v>0</x:v>
      </x:c>
      <x:c r="K591" s="51" t="b">
        <x:v>0</x:v>
      </x:c>
      <x:c r="L591" s="51" t="b">
        <x:v>0</x:v>
      </x:c>
      <x:c r="M591" s="51" t="b">
        <x:v>1</x:v>
      </x:c>
      <x:c r="N591" s="51" t="b">
        <x:v>1</x:v>
      </x:c>
    </x:row>
    <x:row r="592">
      <x:c r="A592" t="str">
        <x:v>TCS</x:v>
      </x:c>
      <x:c r="B592" s="52" t="n">
        <x:v>43186</x:v>
      </x:c>
      <x:c r="C592" s="53" t="n">
        <x:v>2847.7</x:v>
      </x:c>
      <x:c r="D592" s="46" t="n">
        <x:v>0.10238086877128927</x:v>
      </x:c>
      <x:c r="E592" s="46" t="n">
        <x:v>0.10238086877128927</x:v>
      </x:c>
      <x:c r="F592" t="n">
        <x:v>10</x:v>
      </x:c>
      <x:c r="G592" s="51" t="b">
        <x:v>0</x:v>
      </x:c>
      <x:c r="H592" s="51" t="b">
        <x:v>0</x:v>
      </x:c>
      <x:c r="I592" s="51" t="b">
        <x:v>0</x:v>
      </x:c>
      <x:c r="J592" s="51" t="b">
        <x:v>0</x:v>
      </x:c>
      <x:c r="K592" s="51" t="b">
        <x:v>0</x:v>
      </x:c>
      <x:c r="L592" s="51" t="b">
        <x:v>1</x:v>
      </x:c>
      <x:c r="M592" s="51" t="b">
        <x:v>0</x:v>
      </x:c>
      <x:c r="N592" s="51" t="b">
        <x:v>1</x:v>
      </x:c>
    </x:row>
    <x:row r="593">
      <x:c r="A593" t="str">
        <x:v>TCS</x:v>
      </x:c>
      <x:c r="B593" s="52" t="n">
        <x:v>43357</x:v>
      </x:c>
      <x:c r="C593" s="53" t="n">
        <x:v>2065.4</x:v>
      </x:c>
      <x:c r="D593" s="46" t="n">
        <x:v>0.09206449113973081</x:v>
      </x:c>
      <x:c r="E593" s="46" t="n">
        <x:v>0.09206449113973081</x:v>
      </x:c>
      <x:c r="F593" t="n">
        <x:v>10</x:v>
      </x:c>
      <x:c r="G593" s="51" t="b">
        <x:v>0</x:v>
      </x:c>
      <x:c r="H593" s="51" t="b">
        <x:v>0</x:v>
      </x:c>
      <x:c r="I593" s="51" t="b">
        <x:v>0</x:v>
      </x:c>
      <x:c r="J593" s="51" t="b">
        <x:v>1</x:v>
      </x:c>
      <x:c r="K593" s="51" t="b">
        <x:v>1</x:v>
      </x:c>
      <x:c r="L593" s="51" t="b">
        <x:v>0</x:v>
      </x:c>
      <x:c r="M593" s="51" t="b">
        <x:v>0</x:v>
      </x:c>
      <x:c r="N593" s="51" t="b">
        <x:v>1</x:v>
      </x:c>
    </x:row>
    <x:row r="594">
      <x:c r="A594" t="str">
        <x:v>TCS</x:v>
      </x:c>
      <x:c r="B594" s="52" t="n">
        <x:v>43425</x:v>
      </x:c>
      <x:c r="C594" s="53" t="n">
        <x:v>1812</x:v>
      </x:c>
      <x:c r="D594" s="46" t="n">
        <x:v>0.10974061810154523</x:v>
      </x:c>
      <x:c r="E594" s="46" t="n">
        <x:v>0.09972406181015447</x:v>
      </x:c>
      <x:c r="F594" t="n">
        <x:v>4</x:v>
      </x:c>
      <x:c r="G594" s="51" t="b">
        <x:v>0</x:v>
      </x:c>
      <x:c r="H594" s="51" t="b">
        <x:v>0</x:v>
      </x:c>
      <x:c r="I594" s="51" t="b">
        <x:v>0</x:v>
      </x:c>
      <x:c r="J594" s="51" t="b">
        <x:v>0</x:v>
      </x:c>
      <x:c r="K594" s="51" t="b">
        <x:v>0</x:v>
      </x:c>
      <x:c r="L594" s="51" t="b">
        <x:v>0</x:v>
      </x:c>
      <x:c r="M594" s="51" t="b">
        <x:v>0</x:v>
      </x:c>
      <x:c r="N594" s="51" t="b">
        <x:v>1</x:v>
      </x:c>
    </x:row>
    <x:row r="595">
      <x:c r="A595" t="str">
        <x:v>TCS</x:v>
      </x:c>
      <x:c r="B595" s="52" t="n">
        <x:v>43488</x:v>
      </x:c>
      <x:c r="C595" s="53" t="n">
        <x:v>1875.6</x:v>
      </x:c>
      <x:c r="D595" s="46" t="n">
        <x:v>0.1062060140754959</x:v>
      </x:c>
      <x:c r="E595" s="46" t="n">
        <x:v>0.1062060140754959</x:v>
      </x:c>
      <x:c r="F595" t="n">
        <x:v>7</x:v>
      </x:c>
      <x:c r="G595" s="51" t="b">
        <x:v>0</x:v>
      </x:c>
      <x:c r="H595" s="51" t="b">
        <x:v>0</x:v>
      </x:c>
      <x:c r="I595" s="51" t="b">
        <x:v>0</x:v>
      </x:c>
      <x:c r="J595" s="51" t="b">
        <x:v>0</x:v>
      </x:c>
      <x:c r="K595" s="51" t="b">
        <x:v>0</x:v>
      </x:c>
      <x:c r="L595" s="51" t="b">
        <x:v>1</x:v>
      </x:c>
      <x:c r="M595" s="51" t="b">
        <x:v>0</x:v>
      </x:c>
      <x:c r="N595" s="51" t="b">
        <x:v>1</x:v>
      </x:c>
    </x:row>
    <x:row r="596">
      <x:c r="A596" t="str">
        <x:v>TCS</x:v>
      </x:c>
      <x:c r="B596" s="52" t="n">
        <x:v>43515</x:v>
      </x:c>
      <x:c r="C596" s="53" t="n">
        <x:v>1904.8</x:v>
      </x:c>
      <x:c r="D596" s="46" t="n">
        <x:v>0.0804808903821923</x:v>
      </x:c>
      <x:c r="E596" s="46" t="n">
        <x:v>0.04976900461990752</x:v>
      </x:c>
      <x:c r="F596" t="n">
        <x:v>6</x:v>
      </x:c>
      <x:c r="G596" s="51" t="b">
        <x:v>0</x:v>
      </x:c>
      <x:c r="H596" s="51" t="b">
        <x:v>0</x:v>
      </x:c>
      <x:c r="I596" s="51" t="b">
        <x:v>0</x:v>
      </x:c>
      <x:c r="J596" s="51" t="b">
        <x:v>0</x:v>
      </x:c>
      <x:c r="K596" s="51" t="b">
        <x:v>0</x:v>
      </x:c>
      <x:c r="L596" s="51" t="b">
        <x:v>0</x:v>
      </x:c>
      <x:c r="M596" s="51" t="b">
        <x:v>0</x:v>
      </x:c>
      <x:c r="N596" s="51" t="b">
        <x:v>1</x:v>
      </x:c>
    </x:row>
    <x:row r="597">
      <x:c r="A597" t="str">
        <x:v>TCS</x:v>
      </x:c>
      <x:c r="B597" s="52" t="n">
        <x:v>43565</x:v>
      </x:c>
      <x:c r="C597" s="53" t="n">
        <x:v>2040.25</x:v>
      </x:c>
      <x:c r="D597" s="46" t="n">
        <x:v>0.09719397132704333</x:v>
      </x:c>
      <x:c r="E597" s="46" t="n">
        <x:v>0.09719397132704333</x:v>
      </x:c>
      <x:c r="F597" t="n">
        <x:v>10</x:v>
      </x:c>
      <x:c r="G597" s="51" t="b">
        <x:v>0</x:v>
      </x:c>
      <x:c r="H597" s="51" t="b">
        <x:v>0</x:v>
      </x:c>
      <x:c r="I597" s="51" t="b">
        <x:v>0</x:v>
      </x:c>
      <x:c r="J597" s="51" t="b">
        <x:v>0</x:v>
      </x:c>
      <x:c r="K597" s="51" t="b">
        <x:v>0</x:v>
      </x:c>
      <x:c r="L597" s="51" t="b">
        <x:v>1</x:v>
      </x:c>
      <x:c r="M597" s="51" t="b">
        <x:v>1</x:v>
      </x:c>
      <x:c r="N597" s="51" t="b">
        <x:v>0</x:v>
      </x:c>
    </x:row>
    <x:row r="598">
      <x:c r="A598" t="str">
        <x:v>TCS</x:v>
      </x:c>
      <x:c r="B598" s="52" t="n">
        <x:v>43608</x:v>
      </x:c>
      <x:c r="C598" s="53" t="n">
        <x:v>2054.05</x:v>
      </x:c>
      <x:c r="D598" s="46" t="n">
        <x:v>0.091648207200409</x:v>
      </x:c>
      <x:c r="E598" s="46" t="n">
        <x:v>0.06216985954577536</x:v>
      </x:c>
      <x:c r="F598" t="n">
        <x:v>7</x:v>
      </x:c>
      <x:c r="G598" s="51" t="b">
        <x:v>0</x:v>
      </x:c>
      <x:c r="H598" s="51" t="b">
        <x:v>0</x:v>
      </x:c>
      <x:c r="I598" s="51" t="b">
        <x:v>0</x:v>
      </x:c>
      <x:c r="J598" s="51" t="b">
        <x:v>0</x:v>
      </x:c>
      <x:c r="K598" s="51" t="b">
        <x:v>0</x:v>
      </x:c>
      <x:c r="L598" s="51" t="b">
        <x:v>0</x:v>
      </x:c>
      <x:c r="M598" s="51" t="b">
        <x:v>1</x:v>
      </x:c>
      <x:c r="N598" s="51" t="b">
        <x:v>1</x:v>
      </x:c>
    </x:row>
    <x:row r="599">
      <x:c r="A599" t="str">
        <x:v>TCS</x:v>
      </x:c>
      <x:c r="B599" s="52" t="n">
        <x:v>43752</x:v>
      </x:c>
      <x:c r="C599" s="53" t="n">
        <x:v>2021</x:v>
      </x:c>
      <x:c r="D599" s="46" t="n">
        <x:v>0.08602177140029688</x:v>
      </x:c>
      <x:c r="E599" s="46" t="n">
        <x:v>0.08602177140029688</x:v>
      </x:c>
      <x:c r="F599" t="n">
        <x:v>10</x:v>
      </x:c>
      <x:c r="G599" s="51" t="b">
        <x:v>0</x:v>
      </x:c>
      <x:c r="H599" s="51" t="b">
        <x:v>0</x:v>
      </x:c>
      <x:c r="I599" s="51" t="b">
        <x:v>0</x:v>
      </x:c>
      <x:c r="J599" s="51" t="b">
        <x:v>0</x:v>
      </x:c>
      <x:c r="K599" s="51" t="b">
        <x:v>0</x:v>
      </x:c>
      <x:c r="L599" s="51" t="b">
        <x:v>0</x:v>
      </x:c>
      <x:c r="M599" s="51" t="b">
        <x:v>0</x:v>
      </x:c>
      <x:c r="N599" s="51" t="b">
        <x:v>1</x:v>
      </x:c>
    </x:row>
    <x:row r="600">
      <x:c r="A600" t="str">
        <x:v>TCS</x:v>
      </x:c>
      <x:c r="B600" s="52" t="n">
        <x:v>43808</x:v>
      </x:c>
      <x:c r="C600" s="53" t="n">
        <x:v>2060.45</x:v>
      </x:c>
      <x:c r="D600" s="46" t="n">
        <x:v>0.08311291222791128</x:v>
      </x:c>
      <x:c r="E600" s="46" t="n">
        <x:v>0.08311291222791128</x:v>
      </x:c>
      <x:c r="F600" t="n">
        <x:v>8</x:v>
      </x:c>
      <x:c r="G600" s="51" t="b">
        <x:v>0</x:v>
      </x:c>
      <x:c r="H600" s="51" t="b">
        <x:v>0</x:v>
      </x:c>
      <x:c r="I600" s="51" t="b">
        <x:v>0</x:v>
      </x:c>
      <x:c r="J600" s="51" t="b">
        <x:v>0</x:v>
      </x:c>
      <x:c r="K600" s="51" t="b">
        <x:v>0</x:v>
      </x:c>
      <x:c r="L600" s="51" t="b">
        <x:v>0</x:v>
      </x:c>
      <x:c r="M600" s="51" t="b">
        <x:v>0</x:v>
      </x:c>
      <x:c r="N600" s="51" t="b">
        <x:v>1</x:v>
      </x:c>
    </x:row>
    <x:row r="601">
      <x:c r="A601" t="str">
        <x:v>TCS</x:v>
      </x:c>
      <x:c r="B601" s="52" t="n">
        <x:v>43907</x:v>
      </x:c>
      <x:c r="C601" s="53" t="n">
        <x:v>1658</x:v>
      </x:c>
      <x:c r="D601" s="46" t="n">
        <x:v>0.10138721351025337</x:v>
      </x:c>
      <x:c r="E601" s="46" t="n">
        <x:v>0.10138721351025337</x:v>
      </x:c>
      <x:c r="F601" t="n">
        <x:v>3</x:v>
      </x:c>
      <x:c r="G601" s="51" t="b">
        <x:v>0</x:v>
      </x:c>
      <x:c r="H601" s="51" t="b">
        <x:v>0</x:v>
      </x:c>
      <x:c r="I601" s="51" t="b">
        <x:v>0</x:v>
      </x:c>
      <x:c r="J601" s="51" t="b">
        <x:v>0</x:v>
      </x:c>
      <x:c r="K601" s="51" t="b">
        <x:v>0</x:v>
      </x:c>
      <x:c r="L601" s="51" t="b">
        <x:v>1</x:v>
      </x:c>
      <x:c r="M601" s="51" t="b">
        <x:v>0</x:v>
      </x:c>
      <x:c r="N601" s="51" t="b">
        <x:v>0</x:v>
      </x:c>
    </x:row>
    <x:row r="602">
      <x:c r="A602" t="str">
        <x:v>TCS</x:v>
      </x:c>
      <x:c r="B602" s="52" t="n">
        <x:v>43924</x:v>
      </x:c>
      <x:c r="C602" s="53" t="n">
        <x:v>1654.2</x:v>
      </x:c>
      <x:c r="D602" s="46" t="n">
        <x:v>0.09941361383145941</x:v>
      </x:c>
      <x:c r="E602" s="46" t="n">
        <x:v>0.06970136621932044</x:v>
      </x:c>
      <x:c r="F602" t="n">
        <x:v>7</x:v>
      </x:c>
      <x:c r="G602" s="51" t="b">
        <x:v>0</x:v>
      </x:c>
      <x:c r="H602" s="51" t="b">
        <x:v>0</x:v>
      </x:c>
      <x:c r="I602" s="51" t="b">
        <x:v>0</x:v>
      </x:c>
      <x:c r="J602" s="51" t="b">
        <x:v>0</x:v>
      </x:c>
      <x:c r="K602" s="51" t="b">
        <x:v>0</x:v>
      </x:c>
      <x:c r="L602" s="51" t="b">
        <x:v>0</x:v>
      </x:c>
      <x:c r="M602" s="51" t="b">
        <x:v>0</x:v>
      </x:c>
      <x:c r="N602" s="51" t="b">
        <x:v>0</x:v>
      </x:c>
    </x:row>
    <x:row r="603">
      <x:c r="A603" t="str">
        <x:v>TCS</x:v>
      </x:c>
      <x:c r="B603" s="52" t="n">
        <x:v>43966</x:v>
      </x:c>
      <x:c r="C603" s="53" t="n">
        <x:v>1892.9</x:v>
      </x:c>
      <x:c r="D603" s="46" t="n">
        <x:v>0.08048497015161926</x:v>
      </x:c>
      <x:c r="E603" s="46" t="n">
        <x:v>0.08048497015161926</x:v>
      </x:c>
      <x:c r="F603" t="n">
        <x:v>10</x:v>
      </x:c>
      <x:c r="G603" s="51" t="b">
        <x:v>0</x:v>
      </x:c>
      <x:c r="H603" s="51" t="b">
        <x:v>0</x:v>
      </x:c>
      <x:c r="I603" s="51" t="b">
        <x:v>0</x:v>
      </x:c>
      <x:c r="J603" s="51" t="b">
        <x:v>0</x:v>
      </x:c>
      <x:c r="K603" s="51" t="b">
        <x:v>1</x:v>
      </x:c>
      <x:c r="L603" s="51" t="b">
        <x:v>0</x:v>
      </x:c>
      <x:c r="M603" s="51" t="b">
        <x:v>0</x:v>
      </x:c>
      <x:c r="N603" s="51" t="b">
        <x:v>0</x:v>
      </x:c>
    </x:row>
    <x:row r="604">
      <x:c r="A604" t="str">
        <x:v>TCS</x:v>
      </x:c>
      <x:c r="B604" s="52" t="n">
        <x:v>44004</x:v>
      </x:c>
      <x:c r="C604" s="53" t="n">
        <x:v>2027.95</x:v>
      </x:c>
      <x:c r="D604" s="46" t="n">
        <x:v>0.11600384624867455</x:v>
      </x:c>
      <x:c r="E604" s="46" t="n">
        <x:v>0.11600384624867455</x:v>
      </x:c>
      <x:c r="F604" t="n">
        <x:v>9</x:v>
      </x:c>
      <x:c r="G604" s="51" t="b">
        <x:v>0</x:v>
      </x:c>
      <x:c r="H604" s="51" t="b">
        <x:v>0</x:v>
      </x:c>
      <x:c r="I604" s="51" t="b">
        <x:v>0</x:v>
      </x:c>
      <x:c r="J604" s="51" t="b">
        <x:v>0</x:v>
      </x:c>
      <x:c r="K604" s="51" t="b">
        <x:v>0</x:v>
      </x:c>
      <x:c r="L604" s="51" t="b">
        <x:v>0</x:v>
      </x:c>
      <x:c r="M604" s="51" t="b">
        <x:v>1</x:v>
      </x:c>
      <x:c r="N604" s="51" t="b">
        <x:v>0</x:v>
      </x:c>
    </x:row>
    <x:row r="605">
      <x:c r="A605" t="str">
        <x:v>TCS</x:v>
      </x:c>
      <x:c r="B605" s="52" t="n">
        <x:v>44074</x:v>
      </x:c>
      <x:c r="C605" s="53" t="n">
        <x:v>2257.25</x:v>
      </x:c>
      <x:c r="D605" s="46" t="n">
        <x:v>0.10373241776497966</x:v>
      </x:c>
      <x:c r="E605" s="46" t="n">
        <x:v>0.10373241776497966</x:v>
      </x:c>
      <x:c r="F605" t="n">
        <x:v>10</x:v>
      </x:c>
      <x:c r="G605" s="51" t="b">
        <x:v>1</x:v>
      </x:c>
      <x:c r="H605" s="51" t="b">
        <x:v>1</x:v>
      </x:c>
      <x:c r="I605" s="51" t="b">
        <x:v>1</x:v>
      </x:c>
      <x:c r="J605" s="51" t="b">
        <x:v>1</x:v>
      </x:c>
      <x:c r="K605" s="51" t="b">
        <x:v>0</x:v>
      </x:c>
      <x:c r="L605" s="51" t="b">
        <x:v>1</x:v>
      </x:c>
      <x:c r="M605" s="51" t="b">
        <x:v>1</x:v>
      </x:c>
      <x:c r="N605" s="51" t="b">
        <x:v>0</x:v>
      </x:c>
    </x:row>
    <x:row r="606">
      <x:c r="A606" t="str">
        <x:v>TCS</x:v>
      </x:c>
      <x:c r="B606" s="52" t="n">
        <x:v>44092</x:v>
      </x:c>
      <x:c r="C606" s="53" t="n">
        <x:v>2449.9</x:v>
      </x:c>
      <x:c r="D606" s="46" t="n">
        <x:v>0.10445324298950975</x:v>
      </x:c>
      <x:c r="E606" s="46" t="n">
        <x:v>0.10445324298950975</x:v>
      </x:c>
      <x:c r="F606" t="n">
        <x:v>10</x:v>
      </x:c>
      <x:c r="G606" s="51" t="b">
        <x:v>0</x:v>
      </x:c>
      <x:c r="H606" s="51" t="b">
        <x:v>0</x:v>
      </x:c>
      <x:c r="I606" s="51" t="b">
        <x:v>0</x:v>
      </x:c>
      <x:c r="J606" s="51" t="b">
        <x:v>0</x:v>
      </x:c>
      <x:c r="K606" s="51" t="b">
        <x:v>0</x:v>
      </x:c>
      <x:c r="L606" s="51" t="b">
        <x:v>1</x:v>
      </x:c>
      <x:c r="M606" s="51" t="b">
        <x:v>1</x:v>
      </x:c>
      <x:c r="N606" s="51" t="b">
        <x:v>0</x:v>
      </x:c>
    </x:row>
    <x:row r="607">
      <x:c r="A607" t="str">
        <x:v>TCS</x:v>
      </x:c>
      <x:c r="B607" s="52" t="n">
        <x:v>44186</x:v>
      </x:c>
      <x:c r="C607" s="53" t="n">
        <x:v>2820.15</x:v>
      </x:c>
      <x:c r="D607" s="46" t="n">
        <x:v>0.09675017286314547</x:v>
      </x:c>
      <x:c r="E607" s="46" t="n">
        <x:v>0.09675017286314547</x:v>
      </x:c>
      <x:c r="F607" t="n">
        <x:v>10</x:v>
      </x:c>
      <x:c r="G607" s="51" t="b">
        <x:v>0</x:v>
      </x:c>
      <x:c r="H607" s="51" t="b">
        <x:v>0</x:v>
      </x:c>
      <x:c r="I607" s="51" t="b">
        <x:v>0</x:v>
      </x:c>
      <x:c r="J607" s="51" t="b">
        <x:v>0</x:v>
      </x:c>
      <x:c r="K607" s="51" t="b">
        <x:v>1</x:v>
      </x:c>
      <x:c r="L607" s="51" t="b">
        <x:v>0</x:v>
      </x:c>
      <x:c r="M607" s="51" t="b">
        <x:v>1</x:v>
      </x:c>
      <x:c r="N607" s="51" t="b">
        <x:v>0</x:v>
      </x:c>
    </x:row>
  </x:sheetData>
  <x:mergeCells>
    <x:mergeCell ref="A1:N2"/>
    <x:mergeCell ref="A3:N3"/>
  </x:mergeCells>
  <x:conditionalFormatting sqref="G6:N607">
    <x:cfRule type="cellIs" dxfId="4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3ae6ff5d744e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1" hidden="0" customWidth="1"/>
    <x:col min="5" max="5" width="17" hidden="0" customWidth="1"/>
    <x:col min="6" max="6" width="17" hidden="0" customWidth="1"/>
    <x:col min="7" max="7" width="60" hidden="0" customWidth="1"/>
    <x:col min="8" max="8" width="18" hidden="0" customWidth="1"/>
  </x:cols>
  <x:sheetData>
    <x:row r="1">
      <x:c r="A1" s="60" t="str">
        <x:v>Latest Available Historical Snapshot</x:v>
      </x:c>
      <x:c r="B1" s="61" t="str">
        <x:v>Latest Available Historical Snapshot</x:v>
      </x:c>
      <x:c r="C1" s="61" t="str">
        <x:v>Latest Available Historical Snapshot</x:v>
      </x:c>
      <x:c r="D1" s="61" t="str">
        <x:v>Latest Available Historical Snapshot</x:v>
      </x:c>
      <x:c r="E1" s="61" t="str">
        <x:v>Latest Available Historical Snapshot</x:v>
      </x:c>
      <x:c r="F1" s="61" t="str">
        <x:v>Latest Available Historical Snapshot</x:v>
      </x:c>
      <x:c r="G1" s="61" t="str">
        <x:v>Latest Available Historical Snapshot</x:v>
      </x:c>
      <x:c r="H1" s="62" t="str">
        <x:v>Latest Available Historical Snapshot</x:v>
      </x:c>
    </x:row>
    <x:row r="2">
      <x:c r="A2" t="str">
        <x:v>Report As Of</x:v>
      </x:c>
      <x:c r="B2" s="52" t="n">
        <x:v>46234</x:v>
      </x:c>
    </x:row>
    <x:row r="3">
      <x:c r="A3" s="29" t="str">
        <x:v>This is the latest date in the supplied historical panel, not a live quote. The runtime scanner now refreshes the tracker from current Upstox candles.</x:v>
      </x:c>
      <x:c r="B3" s="30" t="str">
        <x:v>This is the latest date in the supplied historical panel, not a live quote. The runtime scanner now refreshes the tracker from current Upstox candles.</x:v>
      </x:c>
      <x:c r="C3" s="30" t="str">
        <x:v>This is the latest date in the supplied historical panel, not a live quote. The runtime scanner now refreshes the tracker from current Upstox candles.</x:v>
      </x:c>
      <x:c r="D3" s="30" t="str">
        <x:v>This is the latest date in the supplied historical panel, not a live quote. The runtime scanner now refreshes the tracker from current Upstox candles.</x:v>
      </x:c>
      <x:c r="E3" s="30" t="str">
        <x:v>This is the latest date in the supplied historical panel, not a live quote. The runtime scanner now refreshes the tracker from current Upstox candles.</x:v>
      </x:c>
      <x:c r="F3" s="30" t="str">
        <x:v>This is the latest date in the supplied historical panel, not a live quote. The runtime scanner now refreshes the tracker from current Upstox candles.</x:v>
      </x:c>
      <x:c r="G3" s="30" t="str">
        <x:v>This is the latest date in the supplied historical panel, not a live quote. The runtime scanner now refreshes the tracker from current Upstox candles.</x:v>
      </x:c>
      <x:c r="H3" s="31" t="str">
        <x:v>This is the latest date in the supplied historical panel, not a live quote. The runtime scanner now refreshes the tracker from current Upstox candles.</x:v>
      </x:c>
    </x:row>
    <x:row r="5">
      <x:c r="A5" s="43" t="str">
        <x:v>Symbol</x:v>
      </x:c>
      <x:c r="B5" s="44" t="str">
        <x:v>Latest Source Date</x:v>
      </x:c>
      <x:c r="C5" s="44" t="str">
        <x:v>Close</x:v>
      </x:c>
      <x:c r="D5" s="44" t="str">
        <x:v>Stale Days</x:v>
      </x:c>
      <x:c r="E5" s="44" t="str">
        <x:v>Primary Pattern</x:v>
      </x:c>
      <x:c r="F5" s="44" t="str">
        <x:v>Active Signal Count</x:v>
      </x:c>
      <x:c r="G5" s="44" t="str">
        <x:v>Active Signals</x:v>
      </x:c>
      <x:c r="H5" s="45" t="str">
        <x:v>Data Status</x:v>
      </x:c>
    </x:row>
    <x:row r="6">
      <x:c r="A6" t="str">
        <x:v>BAJAJFINSV</x:v>
      </x:c>
      <x:c r="B6" s="52" t="n">
        <x:v>44228</x:v>
      </x:c>
      <x:c r="C6" s="53" t="n">
        <x:v>9721.8</x:v>
      </x:c>
      <x:c r="D6" t="n">
        <x:f>$B$2-B6</x:f>
        <x:v>2006</x:v>
      </x:c>
      <x:c r="E6" t="str">
        <x:v>NO HIT</x:v>
      </x:c>
      <x:c r="F6" t="n">
        <x:v>12</x:v>
      </x:c>
      <x:c r="G6" s="49" t="str">
        <x:v>TREND_CLOSE_GT_MA20_GT_MA50 | POSITIVE_20D_RELATIVE_STRENGTH | RSI_45_TO_70 | WITHIN_5PCT_OF_PRIOR_20D_HIGH | OBV_UP_10D | POSITIVE_VOLUME_WAKE_1_5X | BREAKOUT_20D_WITH_1_2X_VOLUME | TREND_PLUS_ACCUMULATION | MOMENTUM_QUALITY | FII_INDEX_FUTURES_NET_POSITIVE | FII_INDEX_FUTURES_IMPROVING_5D | CONFIRMED_TREND_PRESSURE</x:v>
      </x:c>
      <x:c r="H6" t="str">
        <x:f>IF(D6&gt;30,"STALE","CURRENT ENOUGH")</x:f>
        <x:v>STALE</x:v>
      </x:c>
    </x:row>
    <x:row r="7">
      <x:c r="A7" t="str">
        <x:v>BAJFINANCE</x:v>
      </x:c>
      <x:c r="B7" s="52" t="n">
        <x:v>46181</x:v>
      </x:c>
      <x:c r="C7" s="53" t="n">
        <x:v>871.1</x:v>
      </x:c>
      <x:c r="D7" t="n">
        <x:f>$B$2-B7</x:f>
        <x:v>53</x:v>
      </x:c>
      <x:c r="E7" t="str">
        <x:v>NO HIT</x:v>
      </x:c>
      <x:c r="F7" t="n">
        <x:v>1</x:v>
      </x:c>
      <x:c r="G7" s="49" t="str">
        <x:v>CLOSE_LOCATION_5D_GE_55PCT</x:v>
      </x:c>
      <x:c r="H7" t="str">
        <x:f>IF(D7&gt;30,"STALE","CURRENT ENOUGH")</x:f>
        <x:v>STALE</x:v>
      </x:c>
    </x:row>
    <x:row r="8">
      <x:c r="A8" t="str">
        <x:v>BHARTIARTL</x:v>
      </x:c>
      <x:c r="B8" s="52" t="n">
        <x:v>46181</x:v>
      </x:c>
      <x:c r="C8" s="53" t="n">
        <x:v>1813.3</x:v>
      </x:c>
      <x:c r="D8" t="n">
        <x:f>$B$2-B8</x:f>
        <x:v>53</x:v>
      </x:c>
      <x:c r="E8" t="str">
        <x:v>NO HIT</x:v>
      </x:c>
      <x:c r="F8" t="n">
        <x:v>6</x:v>
      </x:c>
      <x:c r="G8" s="49" t="str">
        <x:v>POSITIVE_20D_RELATIVE_STRENGTH | BASE_WIDTH_10D_LE_8PCT | VOLUME_DRYUP_5D_VS_20D | DELIVERY_PCT_GE_1_1X_20D | CLOSE_LOCATION_5D_GE_55PCT | QUIET_ACCUMULATION</x:v>
      </x:c>
      <x:c r="H8" t="str">
        <x:f>IF(D8&gt;30,"STALE","CURRENT ENOUGH")</x:f>
        <x:v>STALE</x:v>
      </x:c>
    </x:row>
    <x:row r="9">
      <x:c r="A9" t="str">
        <x:v>DRREDDY</x:v>
      </x:c>
      <x:c r="B9" s="52" t="n">
        <x:v>46181</x:v>
      </x:c>
      <x:c r="C9" s="53" t="n">
        <x:v>1275.6</x:v>
      </x:c>
      <x:c r="D9" t="n">
        <x:f>$B$2-B9</x:f>
        <x:v>53</x:v>
      </x:c>
      <x:c r="E9" t="str">
        <x:v>NO HIT</x:v>
      </x:c>
      <x:c r="F9" t="n">
        <x:v>3</x:v>
      </x:c>
      <x:c r="G9" s="49" t="str">
        <x:v>POSITIVE_20D_RELATIVE_STRENGTH | BASE_WIDTH_10D_LE_8PCT | VOLUME_DRYUP_5D_VS_20D</x:v>
      </x:c>
      <x:c r="H9" t="str">
        <x:f>IF(D9&gt;30,"STALE","CURRENT ENOUGH")</x:f>
        <x:v>STALE</x:v>
      </x:c>
    </x:row>
    <x:row r="10">
      <x:c r="A10" t="str">
        <x:v>HDFCBANK</x:v>
      </x:c>
      <x:c r="B10" s="52" t="n">
        <x:v>46181</x:v>
      </x:c>
      <x:c r="C10" s="53" t="n">
        <x:v>738.65</x:v>
      </x:c>
      <x:c r="D10" t="n">
        <x:f>$B$2-B10</x:f>
        <x:v>53</x:v>
      </x:c>
      <x:c r="E10" t="str">
        <x:v>NO HIT</x:v>
      </x:c>
      <x:c r="F10" t="n">
        <x:v>2</x:v>
      </x:c>
      <x:c r="G10" s="49" t="str">
        <x:v>BASE_WIDTH_10D_LE_8PCT | CLOSE_LOCATION_5D_GE_55PCT</x:v>
      </x:c>
      <x:c r="H10" t="str">
        <x:f>IF(D10&gt;30,"STALE","CURRENT ENOUGH")</x:f>
        <x:v>STALE</x:v>
      </x:c>
    </x:row>
    <x:row r="11">
      <x:c r="A11" t="str">
        <x:v>HINDUNILVR</x:v>
      </x:c>
      <x:c r="B11" s="52" t="n">
        <x:v>46181</x:v>
      </x:c>
      <x:c r="C11" s="53" t="n">
        <x:v>2110.1</x:v>
      </x:c>
      <x:c r="D11" t="n">
        <x:f>$B$2-B11</x:f>
        <x:v>53</x:v>
      </x:c>
      <x:c r="E11" t="str">
        <x:v>NO HIT</x:v>
      </x:c>
      <x:c r="F11" t="n">
        <x:v>1</x:v>
      </x:c>
      <x:c r="G11" s="49" t="str">
        <x:v>CLOSE_LOCATION_5D_GE_55PCT</x:v>
      </x:c>
      <x:c r="H11" t="str">
        <x:f>IF(D11&gt;30,"STALE","CURRENT ENOUGH")</x:f>
        <x:v>STALE</x:v>
      </x:c>
    </x:row>
    <x:row r="12">
      <x:c r="A12" t="str">
        <x:v>ICICIBANK</x:v>
      </x:c>
      <x:c r="B12" s="52" t="n">
        <x:v>46181</x:v>
      </x:c>
      <x:c r="C12" s="53" t="n">
        <x:v>1250.2</x:v>
      </x:c>
      <x:c r="D12" t="n">
        <x:f>$B$2-B12</x:f>
        <x:v>53</x:v>
      </x:c>
      <x:c r="E12" t="str">
        <x:v>NO HIT</x:v>
      </x:c>
      <x:c r="F12" t="n">
        <x:v>5</x:v>
      </x:c>
      <x:c r="G12" s="49" t="str">
        <x:v>POSITIVE_20D_RELATIVE_STRENGTH | RSI_45_TO_70 | WITHIN_5PCT_OF_PRIOR_20D_HIGH | BASE_WIDTH_10D_LE_8PCT | CLOSE_LOCATION_5D_GE_55PCT</x:v>
      </x:c>
      <x:c r="H12" t="str">
        <x:f>IF(D12&gt;30,"STALE","CURRENT ENOUGH")</x:f>
        <x:v>STALE</x:v>
      </x:c>
    </x:row>
    <x:row r="13">
      <x:c r="A13" t="str">
        <x:v>INFY</x:v>
      </x:c>
      <x:c r="B13" s="52" t="n">
        <x:v>46181</x:v>
      </x:c>
      <x:c r="C13" s="53" t="n">
        <x:v>1187.6</x:v>
      </x:c>
      <x:c r="D13" t="n">
        <x:f>$B$2-B13</x:f>
        <x:v>53</x:v>
      </x:c>
      <x:c r="E13" t="str">
        <x:v>NO HIT</x:v>
      </x:c>
      <x:c r="F13" t="n">
        <x:v>4</x:v>
      </x:c>
      <x:c r="G13" s="49" t="str">
        <x:v>POSITIVE_20D_RELATIVE_STRENGTH | RSI_45_TO_70 | OBV_UP_10D | MOMENTUM_QUALITY</x:v>
      </x:c>
      <x:c r="H13" t="str">
        <x:f>IF(D13&gt;30,"STALE","CURRENT ENOUGH")</x:f>
        <x:v>STALE</x:v>
      </x:c>
    </x:row>
    <x:row r="14">
      <x:c r="A14" t="str">
        <x:v>M&amp;M</x:v>
      </x:c>
      <x:c r="B14" s="52" t="n">
        <x:v>44228</x:v>
      </x:c>
      <x:c r="C14" s="53" t="n">
        <x:v>795.15</x:v>
      </x:c>
      <x:c r="D14" t="n">
        <x:f>$B$2-B14</x:f>
        <x:v>2006</x:v>
      </x:c>
      <x:c r="E14" t="str">
        <x:v>NO HIT</x:v>
      </x:c>
      <x:c r="F14" t="n">
        <x:v>6</x:v>
      </x:c>
      <x:c r="G14" s="49" t="str">
        <x:v>TREND_CLOSE_GT_MA20_GT_MA50 | POSITIVE_20D_RELATIVE_STRENGTH | RSI_45_TO_70 | MOMENTUM_QUALITY | FII_INDEX_FUTURES_NET_POSITIVE | FII_INDEX_FUTURES_IMPROVING_5D</x:v>
      </x:c>
      <x:c r="H14" t="str">
        <x:f>IF(D14&gt;30,"STALE","CURRENT ENOUGH")</x:f>
        <x:v>STALE</x:v>
      </x:c>
    </x:row>
    <x:row r="15">
      <x:c r="A15" t="str">
        <x:v>MARUTI</x:v>
      </x:c>
      <x:c r="B15" s="52" t="n">
        <x:v>46181</x:v>
      </x:c>
      <x:c r="C15" s="53" t="n">
        <x:v>12912</x:v>
      </x:c>
      <x:c r="D15" t="n">
        <x:f>$B$2-B15</x:f>
        <x:v>53</x:v>
      </x:c>
      <x:c r="E15" t="str">
        <x:v>NO HIT</x:v>
      </x:c>
      <x:c r="F15" t="n">
        <x:v>5</x:v>
      </x:c>
      <x:c r="G15" s="49" t="str">
        <x:v>RSI_45_TO_70 | BASE_WIDTH_10D_LE_8PCT | DELIVERY_PCT_GE_1_1X_20D | OBV_UP_10D | BB_WIDTH_BOTTOM_20PCT_TRAILING</x:v>
      </x:c>
      <x:c r="H15" t="str">
        <x:f>IF(D15&gt;30,"STALE","CURRENT ENOUGH")</x:f>
        <x:v>STALE</x:v>
      </x:c>
    </x:row>
    <x:row r="16">
      <x:c r="A16" t="str">
        <x:v>ONGC</x:v>
      </x:c>
      <x:c r="B16" s="52" t="n">
        <x:v>46181</x:v>
      </x:c>
      <x:c r="C16" s="53" t="n">
        <x:v>264.65</x:v>
      </x:c>
      <x:c r="D16" t="n">
        <x:f>$B$2-B16</x:f>
        <x:v>53</x:v>
      </x:c>
      <x:c r="E16" t="str">
        <x:v>NO HIT</x:v>
      </x:c>
      <x:c r="F16" t="n">
        <x:v>1</x:v>
      </x:c>
      <x:c r="G16" s="49" t="str">
        <x:v>VOLUME_DRYUP_5D_VS_20D</x:v>
      </x:c>
      <x:c r="H16" t="str">
        <x:f>IF(D16&gt;30,"STALE","CURRENT ENOUGH")</x:f>
        <x:v>STALE</x:v>
      </x:c>
    </x:row>
    <x:row r="17">
      <x:c r="A17" t="str">
        <x:v>RELIANCE</x:v>
      </x:c>
      <x:c r="B17" s="52" t="n">
        <x:v>46181</x:v>
      </x:c>
      <x:c r="C17" s="53" t="n">
        <x:v>1263.3</x:v>
      </x:c>
      <x:c r="D17" t="n">
        <x:f>$B$2-B17</x:f>
        <x:v>53</x:v>
      </x:c>
      <x:c r="E17" t="str">
        <x:v>NO HIT</x:v>
      </x:c>
      <x:c r="F17" t="n">
        <x:v>1</x:v>
      </x:c>
      <x:c r="G17" s="49" t="str">
        <x:v>DELIVERY_PCT_GE_1_1X_20D</x:v>
      </x:c>
      <x:c r="H17" t="str">
        <x:f>IF(D17&gt;30,"STALE","CURRENT ENOUGH")</x:f>
        <x:v>STALE</x:v>
      </x:c>
    </x:row>
    <x:row r="18">
      <x:c r="A18" t="str">
        <x:v>SBIN</x:v>
      </x:c>
      <x:c r="B18" s="52" t="n">
        <x:v>46181</x:v>
      </x:c>
      <x:c r="C18" s="53" t="n">
        <x:v>981.95</x:v>
      </x:c>
      <x:c r="D18" t="n">
        <x:f>$B$2-B18</x:f>
        <x:v>53</x:v>
      </x:c>
      <x:c r="E18" t="str">
        <x:v>NO HIT</x:v>
      </x:c>
      <x:c r="F18" t="n">
        <x:v>5</x:v>
      </x:c>
      <x:c r="G18" s="49" t="str">
        <x:v>POSITIVE_20D_RELATIVE_STRENGTH | BASE_WIDTH_10D_LE_8PCT | OBV_UP_10D | CLOSE_LOCATION_5D_GE_55PCT | BB_WIDTH_BOTTOM_20PCT_TRAILING</x:v>
      </x:c>
      <x:c r="H18" t="str">
        <x:f>IF(D18&gt;30,"STALE","CURRENT ENOUGH")</x:f>
        <x:v>STALE</x:v>
      </x:c>
    </x:row>
    <x:row r="19">
      <x:c r="A19" t="str">
        <x:v>SUNPHARMA</x:v>
      </x:c>
      <x:c r="B19" s="52" t="n">
        <x:v>46181</x:v>
      </x:c>
      <x:c r="C19" s="53" t="n">
        <x:v>1788.8</x:v>
      </x:c>
      <x:c r="D19" t="n">
        <x:f>$B$2-B19</x:f>
        <x:v>53</x:v>
      </x:c>
      <x:c r="E19" t="str">
        <x:v>NO HIT</x:v>
      </x:c>
      <x:c r="F19" t="n">
        <x:v>2</x:v>
      </x:c>
      <x:c r="G19" s="49" t="str">
        <x:v>POSITIVE_20D_RELATIVE_STRENGTH | BASE_WIDTH_10D_LE_8PCT</x:v>
      </x:c>
      <x:c r="H19" t="str">
        <x:f>IF(D19&gt;30,"STALE","CURRENT ENOUGH")</x:f>
        <x:v>STALE</x:v>
      </x:c>
    </x:row>
    <x:row r="20">
      <x:c r="A20" t="str">
        <x:v>TATASTEEL</x:v>
      </x:c>
      <x:c r="B20" s="52" t="n">
        <x:v>46181</x:v>
      </x:c>
      <x:c r="C20" s="53" t="n">
        <x:v>202.72</x:v>
      </x:c>
      <x:c r="D20" t="n">
        <x:f>$B$2-B20</x:f>
        <x:v>53</x:v>
      </x:c>
      <x:c r="E20" t="str">
        <x:v>NO HIT</x:v>
      </x:c>
      <x:c r="F20" t="n">
        <x:v>1</x:v>
      </x:c>
      <x:c r="G20" s="49" t="str">
        <x:v>OBV_UP_10D</x:v>
      </x:c>
      <x:c r="H20" t="str">
        <x:f>IF(D20&gt;30,"STALE","CURRENT ENOUGH")</x:f>
        <x:v>STALE</x:v>
      </x:c>
    </x:row>
    <x:row r="21">
      <x:c r="A21" t="str">
        <x:v>TCS</x:v>
      </x:c>
      <x:c r="B21" s="52" t="n">
        <x:v>44228</x:v>
      </x:c>
      <x:c r="C21" s="53" t="n">
        <x:v>3139.35</x:v>
      </x:c>
      <x:c r="D21" t="n">
        <x:f>$B$2-B21</x:f>
        <x:v>2006</x:v>
      </x:c>
      <x:c r="E21" t="str">
        <x:v>NO HIT</x:v>
      </x:c>
      <x:c r="F21" t="n">
        <x:v>6</x:v>
      </x:c>
      <x:c r="G21" s="49" t="str">
        <x:v>POSITIVE_20D_RELATIVE_STRENGTH | RSI_45_TO_70 | DELIVERY_PCT_GE_1_1X_20D | MOMENTUM_QUALITY | FII_INDEX_FUTURES_NET_POSITIVE | FII_INDEX_FUTURES_IMPROVING_5D</x:v>
      </x:c>
      <x:c r="H21" t="str">
        <x:f>IF(D21&gt;30,"STALE","CURRENT ENOUGH")</x:f>
        <x:v>STALE</x:v>
      </x:c>
    </x:row>
  </x:sheetData>
  <x:mergeCells>
    <x:mergeCell ref="A1:H1"/>
    <x:mergeCell ref="A3:H3"/>
  </x:mergeCells>
  <x:conditionalFormatting sqref="H6:H21">
    <x:cfRule type="containsText" dxfId="5" priority="1" operator="containsText" text="STALE"/>
  </x:conditionalFormatting>
  <x:conditionalFormatting sqref="E6:E21">
    <x:cfRule type="containsText" dxfId="6" priority="2" operator="containsText" text="STRONG"/>
  </x:conditionalFormatting>
  <x:pageMargins left="0.7" right="0.7" top="0.75" bottom="0.75" header="0.3" footer="0.3"/>
  <x:tableParts count="1">
    <x:tablePart xmlns:r="http://schemas.openxmlformats.org/officeDocument/2006/relationships" r:id="R291c407d1f434c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45" hidden="0" customWidth="1"/>
  </x:cols>
  <x:sheetData>
    <x:row r="1">
      <x:c r="A1" s="67" t="str">
        <x:v>Sources, Method, and Checks</x:v>
      </x:c>
      <x:c r="B1" s="68" t="str">
        <x:v>Sources, Method, and Checks</x:v>
      </x:c>
      <x:c r="C1" s="68" t="str">
        <x:v>Sources, Method, and Checks</x:v>
      </x:c>
      <x:c r="D1" s="68" t="str">
        <x:v>Sources, Method, and Checks</x:v>
      </x:c>
      <x:c r="E1" s="68" t="str">
        <x:v>Sources, Method, and Checks</x:v>
      </x:c>
      <x:c r="F1" s="68" t="str">
        <x:v>Sources, Method, and Checks</x:v>
      </x:c>
      <x:c r="G1" s="69" t="str">
        <x:v>Sources, Method, and Checks</x:v>
      </x:c>
    </x:row>
    <x:row r="2">
      <x:c r="A2" s="70" t="str">
        <x:v>Sources, Method, and Checks</x:v>
      </x:c>
      <x:c r="B2" s="71" t="str">
        <x:v>Sources, Method, and Checks</x:v>
      </x:c>
      <x:c r="C2" s="71" t="str">
        <x:v>Sources, Method, and Checks</x:v>
      </x:c>
      <x:c r="D2" s="71" t="str">
        <x:v>Sources, Method, and Checks</x:v>
      </x:c>
      <x:c r="E2" s="71" t="str">
        <x:v>Sources, Method, and Checks</x:v>
      </x:c>
      <x:c r="F2" s="71" t="str">
        <x:v>Sources, Method, and Checks</x:v>
      </x:c>
      <x:c r="G2" s="72" t="str">
        <x:v>Sources, Method, and Checks</x:v>
      </x:c>
    </x:row>
    <x:row r="3">
      <x:c r="A3" s="49"/>
      <x:c r="B3" s="49"/>
      <x:c r="C3" s="49"/>
      <x:c r="D3" s="49"/>
      <x:c r="E3" s="49"/>
      <x:c r="F3" s="49"/>
      <x:c r="G3" s="49"/>
    </x:row>
    <x:row r="4">
      <x:c r="A4" s="49"/>
      <x:c r="B4" s="49"/>
      <x:c r="C4" s="49"/>
      <x:c r="D4" s="49"/>
      <x:c r="E4" s="49"/>
      <x:c r="F4" s="49"/>
      <x:c r="G4" s="49"/>
    </x:row>
    <x:row r="5">
      <x:c r="A5" s="43" t="str">
        <x:v>Source</x:v>
      </x:c>
      <x:c r="B5" s="44" t="str">
        <x:v>Role</x:v>
      </x:c>
      <x:c r="C5" s="44" t="str">
        <x:v>Rows</x:v>
      </x:c>
      <x:c r="D5" s="44" t="str">
        <x:v>Date Start</x:v>
      </x:c>
      <x:c r="E5" s="44" t="str">
        <x:v>Date End</x:v>
      </x:c>
      <x:c r="F5" s="44" t="str">
        <x:v>Status</x:v>
      </x:c>
      <x:c r="G5" s="45" t="str">
        <x:v>Audit Note</x:v>
      </x:c>
    </x:row>
    <x:row r="6">
      <x:c r="A6" s="49" t="str">
        <x:v>nse_volume_delivery_16stocks_eq_merged.csv</x:v>
      </x:c>
      <x:c r="B6" s="49" t="str">
        <x:v>Primary stock-day OHLCV + delivery panel</x:v>
      </x:c>
      <x:c r="C6" s="49" t="n">
        <x:v>32201</x:v>
      </x:c>
      <x:c r="D6" s="73" t="n">
        <x:v>42402</x:v>
      </x:c>
      <x:c r="E6" s="73" t="n">
        <x:v>46181</x:v>
      </x:c>
      <x:c r="F6" s="49" t="str">
        <x:v>USED</x:v>
      </x:c>
      <x:c r="G6" s="49" t="str">
        <x:v>16 stocks; uneven coverage.</x:v>
      </x:c>
    </x:row>
    <x:row r="7">
      <x:c r="A7" s="49" t="str">
        <x:v>India_VIX_historical.csv</x:v>
      </x:c>
      <x:c r="B7" s="49" t="str">
        <x:v>Market volatility context</x:v>
      </x:c>
      <x:c r="C7" s="49"/>
      <x:c r="D7" s="73" t="n">
        <x:v>43101</x:v>
      </x:c>
      <x:c r="E7" s="73" t="n">
        <x:v>45474</x:v>
      </x:c>
      <x:c r="F7" s="49" t="str">
        <x:v>TESTED / CONTEXT</x:v>
      </x:c>
      <x:c r="G7" s="49" t="str">
        <x:v>Falling VIX did not improve the primary outcome.</x:v>
      </x:c>
    </x:row>
    <x:row r="8">
      <x:c r="A8" s="49" t="str">
        <x:v>fii_daily_aggregate.csv</x:v>
      </x:c>
      <x:c r="B8" s="49" t="str">
        <x:v>FII aggregate context</x:v>
      </x:c>
      <x:c r="C8" s="49"/>
      <x:c r="D8" s="73" t="n">
        <x:v>39814</x:v>
      </x:c>
      <x:c r="E8" s="73" t="n">
        <x:v>44196</x:v>
      </x:c>
      <x:c r="F8" s="49" t="str">
        <x:v>TESTED / LIMITED</x:v>
      </x:c>
      <x:c r="G8" s="49" t="str">
        <x:v>No post-2020 coverage.</x:v>
      </x:c>
    </x:row>
    <x:row r="9">
      <x:c r="A9" s="49" t="str">
        <x:v>pwoi_fii_derivatives_features_2012_2023.csv</x:v>
      </x:c>
      <x:c r="B9" s="49" t="str">
        <x:v>FII derivatives context</x:v>
      </x:c>
      <x:c r="C9" s="49" t="n">
        <x:v>2791</x:v>
      </x:c>
      <x:c r="D9" s="73" t="n">
        <x:v>40910</x:v>
      </x:c>
      <x:c r="E9" s="73" t="n">
        <x:v>45043</x:v>
      </x:c>
      <x:c r="F9" s="49" t="str">
        <x:v>TESTED / REGIME DEPENDENT</x:v>
      </x:c>
      <x:c r="G9" s="49" t="str">
        <x:v>Negative train lift; positive 2021-2023 lift.</x:v>
      </x:c>
    </x:row>
    <x:row r="10">
      <x:c r="A10" s="49" t="str">
        <x:v>fii_symbol_daily.csv</x:v>
      </x:c>
      <x:c r="B10" s="49" t="str">
        <x:v>Stock-level FII context</x:v>
      </x:c>
      <x:c r="C10" s="49" t="n">
        <x:v>89931</x:v>
      </x:c>
      <x:c r="D10" s="73" t="n">
        <x:v>39814</x:v>
      </x:c>
      <x:c r="E10" s="73" t="n">
        <x:v>44196</x:v>
      </x:c>
      <x:c r="F10" s="49" t="str">
        <x:v>TESTED / NO STANDALONE EDGE</x:v>
      </x:c>
      <x:c r="G10" s="49" t="str">
        <x:v>Mapped to the 16-stock panel where names were available.</x:v>
      </x:c>
    </x:row>
    <x:row r="11">
      <x:c r="A11" s="49"/>
      <x:c r="B11" s="49"/>
      <x:c r="C11" s="49"/>
      <x:c r="D11" s="49"/>
      <x:c r="E11" s="49"/>
      <x:c r="F11" s="49"/>
      <x:c r="G11" s="49"/>
    </x:row>
    <x:row r="12">
      <x:c r="A12" s="49"/>
      <x:c r="B12" s="49"/>
      <x:c r="C12" s="49"/>
      <x:c r="D12" s="49"/>
      <x:c r="E12" s="49"/>
      <x:c r="F12" s="49"/>
      <x:c r="G12" s="49"/>
    </x:row>
    <x:row r="13">
      <x:c r="A13" s="74" t="str">
        <x:v>Method and Governance</x:v>
      </x:c>
      <x:c r="B13" s="74" t="str">
        <x:v>Method and Governance</x:v>
      </x:c>
      <x:c r="C13" s="74" t="str">
        <x:v>Method and Governance</x:v>
      </x:c>
      <x:c r="D13" s="74" t="str">
        <x:v>Method and Governance</x:v>
      </x:c>
      <x:c r="E13" s="74" t="str">
        <x:v>Method and Governance</x:v>
      </x:c>
      <x:c r="F13" s="74" t="str">
        <x:v>Method and Governance</x:v>
      </x:c>
      <x:c r="G13" s="74" t="str">
        <x:v>Method and Governance</x:v>
      </x:c>
    </x:row>
    <x:row r="14">
      <x:c r="A14" s="75" t="str">
        <x:v>Rise label</x:v>
      </x:c>
      <x:c r="B14" s="49" t="str">
        <x:v>Future maximum close return ≥ 8% within 10 trading sessions.</x:v>
      </x:c>
      <x:c r="C14" s="49"/>
      <x:c r="D14" s="49"/>
      <x:c r="E14" s="49"/>
      <x:c r="F14" s="49"/>
      <x:c r="G14" s="49"/>
    </x:row>
    <x:row r="15">
      <x:c r="A15" s="75" t="str">
        <x:v>Leakage control</x:v>
      </x:c>
      <x:c r="B15" s="49" t="str">
        <x:v>Signals use only current and prior sessions; future data creates labels only.</x:v>
      </x:c>
      <x:c r="C15" s="49"/>
      <x:c r="D15" s="49"/>
      <x:c r="E15" s="49"/>
      <x:c r="F15" s="49"/>
      <x:c r="G15" s="49"/>
    </x:row>
    <x:row r="16">
      <x:c r="A16" s="75" t="str">
        <x:v>Train/test split</x:v>
      </x:c>
      <x:c r="B16" s="49" t="str">
        <x:v>2016-2020 training; 2021-2026 temporal test.</x:v>
      </x:c>
      <x:c r="C16" s="49"/>
      <x:c r="D16" s="49"/>
      <x:c r="E16" s="49"/>
      <x:c r="F16" s="49"/>
      <x:c r="G16" s="49"/>
    </x:row>
    <x:row r="17">
      <x:c r="A17" s="75" t="str">
        <x:v>Stability blocks</x:v>
      </x:c>
      <x:c r="B17" s="49" t="str">
        <x:v>2016-2018, 2019-2021, 2022-2024, and 2025-2026.</x:v>
      </x:c>
      <x:c r="C17" s="49"/>
      <x:c r="D17" s="49"/>
      <x:c r="E17" s="49"/>
      <x:c r="F17" s="49"/>
      <x:c r="G17" s="49"/>
    </x:row>
    <x:row r="18">
      <x:c r="A18" s="75" t="str">
        <x:v>Watch pattern</x:v>
      </x:c>
      <x:c r="B18" s="49" t="str">
        <x:v>At least 2 inside bars in 10 + positive close + volume ≥ 1.5x 20D.</x:v>
      </x:c>
      <x:c r="C18" s="49"/>
      <x:c r="D18" s="49"/>
      <x:c r="E18" s="49"/>
      <x:c r="F18" s="49"/>
      <x:c r="G18" s="49"/>
    </x:row>
    <x:row r="19">
      <x:c r="A19" s="75" t="str">
        <x:v>Strong pattern</x:v>
      </x:c>
      <x:c r="B19" s="49" t="str">
        <x:v>At least 3 inside bars in 10 + positive close + volume ≥ 1.5x 20D.</x:v>
      </x:c>
      <x:c r="C19" s="49"/>
      <x:c r="D19" s="49"/>
      <x:c r="E19" s="49"/>
      <x:c r="F19" s="49"/>
      <x:c r="G19" s="49"/>
    </x:row>
    <x:row r="20">
      <x:c r="A20" s="75" t="str">
        <x:v>Execution impact</x:v>
      </x:c>
      <x:c r="B20" s="49" t="str">
        <x:v>None. Display only; no rank, sizing, Kelly, paper-order, or live-order change.</x:v>
      </x:c>
      <x:c r="C20" s="49"/>
      <x:c r="D20" s="49"/>
      <x:c r="E20" s="49"/>
      <x:c r="F20" s="49"/>
      <x:c r="G20" s="49"/>
    </x:row>
    <x:row r="21">
      <x:c r="A21" s="75" t="str">
        <x:v>Edge status</x:v>
      </x:c>
      <x:c r="B21" s="49" t="str">
        <x:v>NOT CONFIRMED. Positive lift does not make the signal universal.</x:v>
      </x:c>
      <x:c r="C21" s="49"/>
      <x:c r="D21" s="49"/>
      <x:c r="E21" s="49"/>
      <x:c r="F21" s="49"/>
      <x:c r="G21" s="49"/>
    </x:row>
    <x:row r="22">
      <x:c r="A22" s="49"/>
      <x:c r="B22" s="49"/>
      <x:c r="C22" s="49"/>
      <x:c r="D22" s="49"/>
      <x:c r="E22" s="49"/>
      <x:c r="F22" s="49"/>
      <x:c r="G22" s="49"/>
    </x:row>
    <x:row r="23">
      <x:c r="A23" s="49"/>
      <x:c r="B23" s="49"/>
      <x:c r="C23" s="49"/>
      <x:c r="D23" s="49"/>
      <x:c r="E23" s="49"/>
      <x:c r="F23" s="49"/>
      <x:c r="G23" s="49"/>
    </x:row>
    <x:row r="24">
      <x:c r="A24" s="74" t="str">
        <x:v>Checks</x:v>
      </x:c>
      <x:c r="B24" s="74" t="str">
        <x:v>Checks</x:v>
      </x:c>
      <x:c r="C24" s="74" t="str">
        <x:v>Checks</x:v>
      </x:c>
      <x:c r="D24" s="74" t="str">
        <x:v>Checks</x:v>
      </x:c>
      <x:c r="E24" s="74" t="str">
        <x:v>Checks</x:v>
      </x:c>
      <x:c r="F24" s="74" t="str">
        <x:v>Checks</x:v>
      </x:c>
      <x:c r="G24" s="74" t="str">
        <x:v>Checks</x:v>
      </x:c>
    </x:row>
    <x:row r="25">
      <x:c r="A25" s="43" t="str">
        <x:v>Check</x:v>
      </x:c>
      <x:c r="B25" s="44" t="str">
        <x:v>Actual</x:v>
      </x:c>
      <x:c r="C25" s="44" t="str">
        <x:v>Expected</x:v>
      </x:c>
      <x:c r="D25" s="44" t="str">
        <x:v>Status</x:v>
      </x:c>
      <x:c r="E25" s="45" t="str">
        <x:v>Notes</x:v>
      </x:c>
      <x:c r="F25" s="49"/>
      <x:c r="G25" s="49"/>
    </x:row>
    <x:row r="26">
      <x:c r="A26" s="49" t="str">
        <x:v>Source rows</x:v>
      </x:c>
      <x:c r="B26" s="49" t="n">
        <x:v>32201</x:v>
      </x:c>
      <x:c r="C26" s="49" t="n">
        <x:v>32201</x:v>
      </x:c>
      <x:c r="D26" s="49" t="str">
        <x:f>IF(OR(B26=C26,IFERROR(ABS(B26-C26)&lt;0.000000001,FALSE)),"OK","FAIL")</x:f>
        <x:v>OK</x:v>
      </x:c>
      <x:c r="E26" s="49" t="str">
        <x:v>Exact primary row count</x:v>
      </x:c>
      <x:c r="F26" s="49"/>
      <x:c r="G26" s="49"/>
    </x:row>
    <x:row r="27">
      <x:c r="A27" s="49" t="str">
        <x:v>Symbols</x:v>
      </x:c>
      <x:c r="B27" s="49" t="n">
        <x:v>16</x:v>
      </x:c>
      <x:c r="C27" s="49" t="n">
        <x:v>16</x:v>
      </x:c>
      <x:c r="D27" s="49" t="str">
        <x:f>IF(OR(B27=C27,IFERROR(ABS(B27-C27)&lt;0.000000001,FALSE)),"OK","FAIL")</x:f>
        <x:v>OK</x:v>
      </x:c>
      <x:c r="E27" s="49" t="str">
        <x:v>Exact primary symbol count</x:v>
      </x:c>
      <x:c r="F27" s="49"/>
      <x:c r="G27" s="49"/>
    </x:row>
    <x:row r="28">
      <x:c r="A28" s="49" t="str">
        <x:v>Strong full lift</x:v>
      </x:c>
      <x:c r="B28" s="49" t="n">
        <x:v>1.563290761145156</x:v>
      </x:c>
      <x:c r="C28" s="49" t="n">
        <x:v>1.5632907611</x:v>
      </x:c>
      <x:c r="D28" s="49" t="str">
        <x:f>IF(OR(B28=C28,IFERROR(ABS(B28-C28)&lt;0.000000001,FALSE)),"OK","FAIL")</x:f>
        <x:v>OK</x:v>
      </x:c>
      <x:c r="E28" s="49" t="str">
        <x:v>Matches evidence JSON</x:v>
      </x:c>
      <x:c r="F28" s="49"/>
      <x:c r="G28" s="49"/>
    </x:row>
    <x:row r="29">
      <x:c r="A29" s="49" t="str">
        <x:v>Watch test lift</x:v>
      </x:c>
      <x:c r="B29" s="49" t="n">
        <x:v>1.3705866349398423</x:v>
      </x:c>
      <x:c r="C29" s="49" t="n">
        <x:v>1.3705866349</x:v>
      </x:c>
      <x:c r="D29" s="49" t="str">
        <x:f>IF(OR(B29=C29,IFERROR(ABS(B29-C29)&lt;0.000000001,FALSE)),"OK","FAIL")</x:f>
        <x:v>OK</x:v>
      </x:c>
      <x:c r="E29" s="49" t="str">
        <x:v>Matches evidence JSON</x:v>
      </x:c>
      <x:c r="F29" s="49"/>
      <x:c r="G29" s="49"/>
    </x:row>
    <x:row r="30">
      <x:c r="A30" s="49" t="str">
        <x:v>Edge confirmed</x:v>
      </x:c>
      <x:c r="B30" s="76" t="b">
        <x:v>0</x:v>
      </x:c>
      <x:c r="C30" s="76" t="b">
        <x:v>0</x:v>
      </x:c>
      <x:c r="D30" s="49" t="str">
        <x:f>IF(OR(B30=C30,IFERROR(ABS(B30-C30)&lt;0.000000001,FALSE)),"OK","FAIL")</x:f>
        <x:v>OK</x:v>
      </x:c>
      <x:c r="E30" s="49" t="str">
        <x:v>Must remain false</x:v>
      </x:c>
      <x:c r="F30" s="49"/>
      <x:c r="G30" s="49"/>
    </x:row>
    <x:row r="31">
      <x:c r="A31" s="49"/>
      <x:c r="B31" s="49"/>
      <x:c r="C31" s="49"/>
      <x:c r="D31" s="49"/>
      <x:c r="E31" s="49"/>
      <x:c r="F31" s="49"/>
      <x:c r="G31" s="49"/>
    </x:row>
    <x:row r="32">
      <x:c r="A32" s="49"/>
      <x:c r="B32" s="49"/>
      <x:c r="C32" s="49"/>
      <x:c r="D32" s="49"/>
      <x:c r="E32" s="49"/>
      <x:c r="F32" s="49"/>
      <x:c r="G32" s="49"/>
    </x:row>
    <x:row r="33">
      <x:c r="A33" s="49"/>
      <x:c r="B33" s="49"/>
      <x:c r="C33" s="49"/>
      <x:c r="D33" s="49"/>
      <x:c r="E33" s="49"/>
      <x:c r="F33" s="49"/>
      <x:c r="G33" s="49"/>
    </x:row>
    <x:row r="34">
      <x:c r="A34" s="49"/>
      <x:c r="B34" s="49"/>
      <x:c r="C34" s="49"/>
      <x:c r="D34" s="49"/>
      <x:c r="E34" s="49"/>
      <x:c r="F34" s="49"/>
      <x:c r="G34" s="49"/>
    </x:row>
  </x:sheetData>
  <x:mergeCells>
    <x:mergeCell ref="A1:G2"/>
    <x:mergeCell ref="A13:G13"/>
    <x:mergeCell ref="A24:G24"/>
  </x:mergeCells>
  <x:conditionalFormatting sqref="D26:D30">
    <x:cfRule type="containsText" dxfId="7" priority="1" operator="containsText" text="OK"/>
    <x:cfRule type="containsText" dxfId="8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d5c97ed0e734b58"/>
  </x:tableParts>
</x:worksheet>
</file>